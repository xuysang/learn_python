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wangwl\Documents\自定义 Office 模板\"/>
    </mc:Choice>
  </mc:AlternateContent>
  <bookViews>
    <workbookView xWindow="0" yWindow="0" windowWidth="16650" windowHeight="5235" firstSheet="2" activeTab="5"/>
  </bookViews>
  <sheets>
    <sheet name="等级划分" sheetId="1" state="hidden" r:id="rId1"/>
    <sheet name="Excel修炼" sheetId="2" state="hidden" r:id="rId2"/>
    <sheet name="Excel结构" sheetId="3" r:id="rId3"/>
    <sheet name="自定义函数" sheetId="4" r:id="rId4"/>
    <sheet name="文本处理" sheetId="5" r:id="rId5"/>
    <sheet name="Sheet1" sheetId="6"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4" l="1"/>
  <c r="B6" i="4"/>
  <c r="B5" i="4"/>
  <c r="B9" i="4"/>
  <c r="B4" i="4"/>
  <c r="B10" i="4"/>
  <c r="B3" i="4"/>
  <c r="A14" i="4"/>
  <c r="A16" i="4"/>
  <c r="A15" i="4"/>
  <c r="D3" i="4" l="1"/>
  <c r="D2" i="4"/>
</calcChain>
</file>

<file path=xl/sharedStrings.xml><?xml version="1.0" encoding="utf-8"?>
<sst xmlns="http://schemas.openxmlformats.org/spreadsheetml/2006/main" count="584" uniqueCount="577">
  <si>
    <t>Excel入门水平</t>
    <phoneticPr fontId="1" type="noConversion"/>
  </si>
  <si>
    <t>Excel初级水平</t>
    <phoneticPr fontId="1" type="noConversion"/>
  </si>
  <si>
    <t>Excel中级水平</t>
    <phoneticPr fontId="1" type="noConversion"/>
  </si>
  <si>
    <t>Excel高级水平</t>
    <phoneticPr fontId="1" type="noConversion"/>
  </si>
  <si>
    <t>Excel专业水平</t>
    <phoneticPr fontId="1" type="noConversion"/>
  </si>
  <si>
    <t>Excel大师水平</t>
    <phoneticPr fontId="1" type="noConversion"/>
  </si>
  <si>
    <t>Excel求败水平</t>
    <phoneticPr fontId="1" type="noConversion"/>
  </si>
  <si>
    <t>重点研究vba及Excel与office其他组件的相互配合，能解决Excel中的所有问题，研究出大量实用加载宏模板。</t>
    <phoneticPr fontId="1" type="noConversion"/>
  </si>
  <si>
    <r>
      <t>Excel就是他的全部，专门挖掘Excel和window的潜在功能和漏洞，经常作一些极高水平的变态应用——</t>
    </r>
    <r>
      <rPr>
        <sz val="14"/>
        <color rgb="FFFF0000"/>
        <rFont val="微软雅黑"/>
        <family val="2"/>
        <charset val="134"/>
      </rPr>
      <t>对HR说“我略懂一点Excel”。</t>
    </r>
    <phoneticPr fontId="1" type="noConversion"/>
  </si>
  <si>
    <t>　　</t>
  </si>
  <si>
    <t>　　你悄然的来到了一个大街上，骄傲的对着HR说“
　　我精通EXCEL”，
　　“哦，那你肯定认识EXCEL的函数啦，他们现在怎么样啊？过的还好么？好久没和他们联系了”
　　“什么是函数？”
　　“就是你说的那个数据交响乐团里面那个XX嘛”
　　“有，有，有这个玩意么？”</t>
    <phoneticPr fontId="1" type="noConversion"/>
  </si>
  <si>
    <t>　　于是，你亲切的来到了人民数据之中，和无数的人民数据畅谈理想与人生规划，人民对你提出了心中最渴望的想法，每个数据都想做一个独一无二的自己。你回到了家中，想整理出来和领导汇报，才发现领导只告诉了一件事“我才不管狗屁人民数据的想法，我只要他们老实，听话，和谐，别跟我添乱，至于每个人的独一无二，哈哈哈”</t>
  </si>
  <si>
    <t>　　为了保住你自己的职位，你只能痛苦的回到人民数据之中，它们渴望的眼神看着你，你沉思了一下，站在了高台上，想像中前面就是一个伟大的交响乐团，你，你就是一个神一样的指挥，来吧，来吧，挥动你的手，来吧，来吧，挥动你的细细的指挥棒。</t>
  </si>
  <si>
    <t>　　在我看来，EXCEL就是一堆数据没事做在那儿聊天，东一堆西一堆的，还完全没组织性纪律性，完全无视我天朝的种种律法，你，做为一个先进性思想的代表，一个人类的灵魂工程师以及一个吃饱了撑得慌的老板以及其它人的小跟班，得去收拾收拾这帮数据。</t>
  </si>
  <si>
    <t>　　刚开始的时候，你只能一个一个的指挥数据，设置格式，拖来拖去，学会了弄个着色来标识个别不听话的，也许学会了一些快捷方式，忽然，你在角落里面发现了一本售价三百大毛的秘籍“EXCEL三天就会”，于是，你苦练一番，你发现自己已经批量设置格式，顺便弄个透视表，不少的架势已经学会，数据已经被你收拾的差不多，虽然看上去高低不平，个性不一，万千着色啥玩意都有，你觉得自己已经精通了，不过如此嘛。</t>
  </si>
  <si>
    <t>　　于是，你在江湖上成名，大家都知道你的戏法变的不错，争先恐后的要求你变，有一天，有个家伙提出一个戏法让你实现，你想破脑袋，也不能用手头上的工具来实现，无论是如何去组合，但你又听说江湖上有人实现过，你苦苦的思索，突然之间，有天看见一个函数用一个玩意把自己拆开又重新组合起来，眼睛一闪，你知道了有个叫VBA的玩意，他能实现自定义函数，自定义各种自动过程，后面你才知道，他是EXCEL的幕后者，所有的数据都是他的化身，你跪服在他手下，而且几年后当你出关的时候，感慨的对HR说“我会一点EXCEL”</t>
  </si>
  <si>
    <t>　　EXCEL只是你的一个工具，对于你的工作来说，可以使用并达到你的目的就叫熟练，至于精通，能称的上这二个字的人都不认为自己是精通的，略通而已。</t>
  </si>
  <si>
    <t>已超出单纯的Excel范畴，重点研究Excel与其他软件系统的配合，如SQL、VB、PB等，可以写C++/C的com组件配合VBA。</t>
    <phoneticPr fontId="1" type="noConversion"/>
  </si>
  <si>
    <t>　　你回到数据之中，看着那几个数据后面躲着的几个小小的玩意，就这个玩意啊，不就是几个变戏法的家伙么，有什么好认识的嘛，HR还觉得他们有多好多好，突然，群众大乱，无数的数据过来，你已经无法用数量来形容他们，他们冲着你抱怨，当年你答应别人的独一无二无法实现，天啦，怎么办，怎么办，那几个变戏法的家伙过来了，偶尔一个出去，间或几个重叠，后面还有一个叫“数组”和一个叫“数据透视表”的家伙在微笑，挥挥手，每个数据都实现了其独一无二的想法，只是转眼之间，数据回到了和谐共存的时代，整齐而又实现个性，你轻轻的叹了口气，对HR说“我会EXCEL”</t>
    <phoneticPr fontId="1" type="noConversion"/>
  </si>
  <si>
    <t>如何才算精通Excel</t>
    <phoneticPr fontId="1" type="noConversion"/>
  </si>
  <si>
    <t>　　十多年过去了，江湖上你已经行走了大半，你轻轻一挥手，万千数据随便走，在江湖上，你撞上了VBA的妈妈VB，遇到了他的兄弟SQL，找到他的朋友们，还认识到他另外的家庭成员，在一个冷清而月光皎洁的晚上，在大内之颠，在华山之峰，你轻轻的对陪伴了你多年的HR说“我只是懂一点EXCEL而已”，山下远远的传来一个年轻而骄傲的声音“我精通EXCEL！”</t>
    <phoneticPr fontId="1" type="noConversion"/>
  </si>
  <si>
    <t>寸步难行</t>
    <phoneticPr fontId="1" type="noConversion"/>
  </si>
  <si>
    <t>游刃有余</t>
    <phoneticPr fontId="1" type="noConversion"/>
  </si>
  <si>
    <t>自我感觉良好</t>
    <phoneticPr fontId="1" type="noConversion"/>
  </si>
  <si>
    <t>柒仟叁佰壹拾叁万零壹佰伍拾陆元整</t>
    <phoneticPr fontId="1" type="noConversion"/>
  </si>
  <si>
    <t>玖仟壹佰玖拾贰万柒仟陆佰叁拾陆元整</t>
  </si>
  <si>
    <t>壹亿零柒佰玖拾捌万贰仟陆佰叁拾柒元整</t>
  </si>
  <si>
    <t>陆仟陆佰叁拾柒万零柒佰零叁元整</t>
  </si>
  <si>
    <t>壹佰零伍万柒仟捌佰陆拾元伍角陆分</t>
    <phoneticPr fontId="1" type="noConversion"/>
  </si>
  <si>
    <t>https://blog.csdn.net/qfire/article/details/81739128</t>
    <phoneticPr fontId="1" type="noConversion"/>
  </si>
  <si>
    <t>https://blog.csdn.net/qq_33934809/article/details/86625685</t>
    <phoneticPr fontId="1" type="noConversion"/>
  </si>
  <si>
    <t>=</t>
    <phoneticPr fontId="1" type="noConversion"/>
  </si>
  <si>
    <r>
      <t>一个一个的录入数据，设置格式，也许学会了一些快捷方式批量设置格式，顺便弄个透视表，不少的架势已经学会——</t>
    </r>
    <r>
      <rPr>
        <sz val="14"/>
        <color rgb="FFFF0000"/>
        <rFont val="微软雅黑"/>
        <family val="2"/>
        <charset val="134"/>
      </rPr>
      <t>对HR说“我精通Excel”。</t>
    </r>
    <phoneticPr fontId="1" type="noConversion"/>
  </si>
  <si>
    <t>认识EXCEL的30个常用函数，if、vlookup之类的运用娴熟，可以自己设计有简单计算功能的表格。</t>
    <phoneticPr fontId="1" type="noConversion"/>
  </si>
  <si>
    <t>会使用名称管理、自定义和条件格式、有效性、组及分级显示、高级筛选、自定义排序、合并、分列，共享，快照，普通数据透视表，设计普通自动计算功能的表格，安全性的概念与简单应用，会录制宏，简单控件应用，可以解决常见Excel问题。</t>
    <phoneticPr fontId="1" type="noConversion"/>
  </si>
  <si>
    <r>
      <t>熟悉工程、财务、统计等大部分不常用的函数，动态图表的熟练使用，数组公式的普通应用，各种图表、控件、窗体、有效性等综合应用。分析工具熟练使用如单变量、规划求解 ，模拟运算表 ，XML ，初步了解vba和简单程序编制 ，制作自定义函数，自己设计解决方案，可以处理90％以上的Excel问题——</t>
    </r>
    <r>
      <rPr>
        <sz val="14"/>
        <color rgb="FFFF0000"/>
        <rFont val="微软雅黑"/>
        <family val="2"/>
        <charset val="134"/>
      </rPr>
      <t>对HR说“我会一点Excel”。</t>
    </r>
    <phoneticPr fontId="1" type="noConversion"/>
  </si>
  <si>
    <t>自定义函数:Ttile。完成网站名称的爬取</t>
    <phoneticPr fontId="1" type="noConversion"/>
  </si>
  <si>
    <t>自定义函数:Dbstr2num。完成中文金额转阿拉伯数字</t>
    <phoneticPr fontId="1" type="noConversion"/>
  </si>
  <si>
    <t>自定义函数:re_info.使用正则处理文本</t>
    <phoneticPr fontId="1" type="noConversion"/>
  </si>
  <si>
    <t>正则表达</t>
    <phoneticPr fontId="1" type="noConversion"/>
  </si>
  <si>
    <t>https://docs.microsoft.com/zh-cn/dotnet/standard/base-types/regular-expression-language-quick-reference</t>
    <phoneticPr fontId="1" type="noConversion"/>
  </si>
  <si>
    <t xml:space="preserve">xpath
</t>
    <phoneticPr fontId="1" type="noConversion"/>
  </si>
  <si>
    <t>http://www.w3school.com.cn/xpath/xpath_syntax.asp</t>
    <phoneticPr fontId="1" type="noConversion"/>
  </si>
  <si>
    <t xml:space="preserve">_x000D_
_x000D_
浙江华汇能源环境投资股份有限公司（以下简称挂牌公司），_x000D_
_x000D_
住所地：浙江省绍兴市中兴北路 339号华汇大厦 6楼。_x000D_
_x000D_
张水根，男，1960年 8月出生，时任董事长、董事会秘书_x000D_
_x000D_
/信息披露负责人。_x000D_
_x000D_
</t>
  </si>
  <si>
    <t xml:space="preserve">_x000D_
_x000D_
无锡呜哩科技股份有限公司（以下简称挂牌公司），住所地：_x000D_
_x000D_
江苏省无锡市菱湖大道 180-35-401。_x000D_
_x000D_
玉红，男，1980年 9月出生，时任董事长、董事会秘书/信_x000D_
_x000D_
息披露负责人。_x000D_
_x000D_
</t>
  </si>
  <si>
    <t xml:space="preserve">_x000D_
_x000D_
宁夏科捷锂电池股份有限公司（以下简称挂牌公司），住所_x000D_
_x000D_
地：宁夏回族自治区石嘴山市高新技术产业开发区中小企业科_x000D_
_x000D_
技孵化园 9-1号厂房。_x000D_
_x000D_
王辉，男，1975年 7月出生，时任董事长、董事会秘书/信_x000D_
_x000D_
息披露负责人。_x000D_
_x000D_
</t>
  </si>
  <si>
    <t xml:space="preserve">_x000D_
_x000D_
江西大麦互娱科技股份有限公司（以下简称挂牌公司），住_x000D_
_x000D_
所地：江西省南昌市南昌县小蓝经济开发区汇仁西大道 266号。_x000D_
_x000D_
黎浩宇，男，1973年 5月出生，时任董事长、董事会秘书_x000D_
_x000D_
/信息披露负责人。_x000D_
_x000D_
</t>
  </si>
  <si>
    <t xml:space="preserve">_x000D_
_x000D_
浙江海宁国爱文化传媒股份有限公司（以下简称挂牌公司），_x000D_
_x000D_
住所地：浙江省海宁市盐官景区人民路 34号 403室。_x000D_
_x000D_
密忠良，男，1947年 11月出生，时任董事长、董事会秘书_x000D_
_x000D_
/信息披露负责人。_x000D_
_x000D_
</t>
  </si>
  <si>
    <t xml:space="preserve">_x000D_
_x000D_
深圳市佳信捷技术股份有限公司（以下简称挂牌公司），住_x000D_
_x000D_
所地：深圳市龙华区大浪街道新石社区丽荣路 1 号昌毅工业厂_x000D_
_x000D_
区 3栋九层西区。_x000D_
_x000D_
王强，男，1974年 8月出生，时任董事长、董事会秘书/信_x000D_
_x000D_
息披露负责人。_x000D_
_x000D_
</t>
  </si>
  <si>
    <t xml:space="preserve">_x000D_
_x000D_
广东宗兴合泰能源环保股份有限公司（以下简称挂牌公司），_x000D_
_x000D_
住所地：广东省清远市高新技术产业开发区科技创新园创兴大_x000D_
_x000D_
道 18号天安智谷展示服务中心自编 55号。_x000D_
_x000D_
张岩兵，男，1979年 9月出生，时任董事长、董事会秘书_x000D_
_x000D_
/信息披露负责人。_x000D_
_x000D_
</t>
  </si>
  <si>
    <t xml:space="preserve">_x000D_
_x000D_
重庆广建装饰股份有限公司（以下简称挂牌公司），住所地：_x000D_
_x000D_
重庆市江北区港安二路 16号附 3号 9-1。_x000D_
_x000D_
张志明，男，1968年 8月出生，时任董事长、董事会秘书_x000D_
_x000D_
/信息披露负责人。_x000D_
_x000D_
</t>
  </si>
  <si>
    <t xml:space="preserve">_x000D_
_x000D_
天津市锦聚成商贸股份有限公司（以下简称挂牌公司），住_x000D_
_x000D_
所地：天津市西青区辛口工业区泰华路 32号。_x000D_
_x000D_
苑双庆，男，1969年 6月出生，时任董事长、董事会秘书_x000D_
_x000D_
/信息披露负责人。_x000D_
_x000D_
</t>
  </si>
  <si>
    <t xml:space="preserve">_x000D_
_x000D_
天津市和泰鑫工程技术股份有限公司（以下简称挂牌公司），_x000D_
_x000D_
住所地：天津市南开区卫津路与万德庄大街交口西南侧新都大_x000D_
_x000D_
厦 3号楼 1门 2802#。_x000D_
_x000D_
孙强，男，1955年 5月出生，时任董事长、董事会秘书/信_x000D_
_x000D_
息披露负责人。_x000D_
_x000D_
</t>
  </si>
  <si>
    <t xml:space="preserve">_x000D_
_x000D_
湖南信达智能设备股份有限公司（以下简称挂牌公司），住_x000D_
_x000D_
所地：湖南省长沙市高新开发区麓泉路与麓松路延农综合大楼_x000D_
_x000D_
14楼 E601房。_x000D_
_x000D_
陈美良，男，1961年 5月出生，时任董事长、董事会秘书_x000D_
_x000D_
/信息披露负责人。_x000D_
_x000D_
</t>
  </si>
  <si>
    <t xml:space="preserve">_x000D_
_x000D_
天津伟力盛世节能科技股份有限公司（以下简称挂牌公司），_x000D_
_x000D_
住所地：天津滨海高新区华苑产业区物华道 8号增 1号 4 号楼_x000D_
_x000D_
501-502室。_x000D_
_x000D_
路海涛，男，1974年 6月出生，时任董事长、董事会秘书_x000D_
_x000D_
/信息披露负责人。_x000D_
_x000D_
</t>
  </si>
  <si>
    <t xml:space="preserve">_x000D_
_x000D_
德泓国际绒业股份有限公司（以下简称挂牌公司），住所地：_x000D_
_x000D_
宁夏银川市金凤区宝湖中路 401号。_x000D_
_x000D_
马海科，男，1955年 4月出生，时任董事长、董事会秘书_x000D_
_x000D_
/信息披露负责人。_x000D_
_x000D_
</t>
  </si>
  <si>
    <t xml:space="preserve">_x000D_
_x000D_
上海至臻文化传媒股份有限公司（以下简称挂牌公司），住_x000D_
_x000D_
所地：上海市杨浦区隆昌路 210 号 2 幢 C3001 室。_x000D_
_x000D_
徐东方，男，1968年 7月出生，时任董事长、董事会秘书_x000D_
_x000D_
/信息披露负责人。_x000D_
_x000D_
</t>
  </si>
  <si>
    <t xml:space="preserve">_x000D_
_x000D_
上海掌玩互娱网络科技股份有限公司（以下简称挂牌公司），_x000D_
_x000D_
住所地：上海市自由贸易试验区张江路 368号 29幢 2层 201室。_x000D_
_x000D_
李磊，男，1977 年 10 月出生，时任董事长、董事会秘书/_x000D_
_x000D_
信息披露负责人。_x000D_
_x000D_
</t>
  </si>
  <si>
    <t xml:space="preserve">_x000D_
_x000D_
北京七维航测科技股份有限公司（以下简称挂牌公司），住_x000D_
_x000D_
所地：北京市海淀区西北旺镇永捷南路 2 号院 2 号楼。_x000D_
_x000D_
祁伟，男，1965年 7月出生，时任董事长、董事会秘书/信_x000D_
_x000D_
息披露负责人。_x000D_
_x000D_
</t>
  </si>
  <si>
    <t xml:space="preserve">_x000D_
_x000D_
河南金硅科技股份有限公司（以下简称挂牌公司），住所地：_x000D_
_x000D_
河南省郑州市郑东新区龙子湖湖心环路新西兰农牧研发中心 10_x000D_
_x000D_
层。_x000D_
_x000D_
林长春，男，1965年 2月出生，时任董事长、董事会秘书_x000D_
_x000D_
/信息披露负责人。_x000D_
_x000D_
</t>
  </si>
  <si>
    <t xml:space="preserve">_x000D_
_x000D_
延安一正启源科技发展股份有限公司（以下简称挂牌公司），_x000D_
_x000D_
住所地：陕西省延安市延川县文安驿工业园区管委会综合办公_x000D_
_x000D_
楼 405房。_x000D_
_x000D_
唐学庆，男，1986年 10月出生，时任董事长、董事会秘书_x000D_
_x000D_
/信息披露负责人。_x000D_
_x000D_
</t>
  </si>
  <si>
    <t xml:space="preserve">_x000D_
_x000D_
江苏维福特科技发展股份有限公司（以下简称挂牌公司），_x000D_
_x000D_
住所地：江苏省东台市城东新区东进大道 8号。_x000D_
_x000D_
刘云俊，男，1971年 5月出生，时任董事长、董事会秘书_x000D_
_x000D_
/信息披露负责人。_x000D_
_x000D_
</t>
  </si>
  <si>
    <t xml:space="preserve">_x000D_
_x000D_
东莞市尼的科技股份有限公司（以下简称挂牌公司），住所_x000D_
_x000D_
地：广东省东莞市横沥镇西城工业一区。_x000D_
_x000D_
刘敏，男，1981年 5月出生，时任董事长、董事会秘书/信_x000D_
_x000D_
息披露负责人。_x000D_
_x000D_
</t>
  </si>
  <si>
    <t xml:space="preserve">_x000D_
_x000D_
哈密华坤新能源股份有限公司（以下简称挂牌公司），住所_x000D_
_x000D_
地：新疆哈密地区哈密市广场南路飞云大厦四楼。_x000D_
_x000D_
胡建，男，1974年 4月出生，时任董事长、董事会秘书/信_x000D_
_x000D_
息披露负责人。_x000D_
_x000D_
</t>
  </si>
  <si>
    <t xml:space="preserve">_x000D_
_x000D_
广东泰通农业发展集团股份有限公司（以下简称挂牌公司），_x000D_
_x000D_
住所地：广东省东莞市松山湖园区科技十路 7号 16栋 1305室。_x000D_
_x000D_
樊文烈，男，1967年 11月出生，时任董事长、董事会秘书_x000D_
_x000D_
/信息披露负责人。_x000D_
_x000D_
</t>
  </si>
  <si>
    <t xml:space="preserve">_x000D_
_x000D_
广东安尔发智能科技股份有限公司（以下简称挂牌公司），_x000D_
_x000D_
住所地：广东省东莞市松山湖科技产业园区新竹路 4 号新竹苑_x000D_
_x000D_
11幢办公 301。_x000D_
_x000D_
周永刚，男，1980年 8月出生，时任董事长、董事会秘书_x000D_
_x000D_
/信息披露负责人。_x000D_
_x000D_
</t>
  </si>
  <si>
    <t xml:space="preserve">_x000D_
_x000D_
北京航天理想科技股份有限公司（以下简称挂牌公司），住_x000D_
_x000D_
所地：北京市海淀区知春路 6号（锦秋国际大厦）17层 B01。_x000D_
_x000D_
张宇峰，男，1963年 8月出生，时任董事长、董事会秘书_x000D_
_x000D_
/信息披露负责人。_x000D_
_x000D_
</t>
  </si>
  <si>
    <t xml:space="preserve">_x000D_
_x000D_
深圳市长宁钻石股份有限公司（以下简称挂牌公司），住所_x000D_
_x000D_
地：广东省深圳市罗湖区莲塘港莲路 4号 3楼 A。_x000D_
_x000D_
王宁，男，1976年 3月出生，时任董事长、董事会秘书/信_x000D_
_x000D_
息披露负责人。_x000D_
_x000D_
</t>
  </si>
  <si>
    <t xml:space="preserve">_x000D_
_x000D_
上海百林通信网络科技服务股份有限公司（以下简称挂牌_x000D_
_x000D_
公司），住所地：上海市浦东新区郭守敬路 498号 15105室。_x000D_
_x000D_
魏敏，男，1958年 2月出生，时任董事长、董事会秘书/信_x000D_
_x000D_
息披露负责人。_x000D_
_x000D_
</t>
  </si>
  <si>
    <t xml:space="preserve">_x000D_
_x000D_
安徽瑞格电梯服务股份有限公司（以下简称挂牌公司），住_x000D_
_x000D_
所地：安徽省蚌埠市蚌山区万达写字楼 A2003。_x000D_
_x000D_
周翔，男，1983年 6月出生，时任董事长、董事会秘书/信_x000D_
_x000D_
息披露负责人。_x000D_
_x000D_
</t>
  </si>
  <si>
    <t xml:space="preserve">_x000D_
_x000D_
新疆石大科技股份有限公司（以下简称挂牌公司），住所地：_x000D_
_x000D_
新疆巴州库尔勒经济技术开发区乐悟路 6583号。_x000D_
_x000D_
刘勇杰，男，1960年 1月出生，时任董事长、董事会秘书_x000D_
_x000D_
/信息披露负责人。_x000D_
_x000D_
</t>
  </si>
  <si>
    <t xml:space="preserve">_x000D_
_x000D_
江西通达航运股份有限公司（以下简称挂牌公司），住所地：_x000D_
_x000D_
江西省南昌市红谷滩新区赣江中大道 1218 号新地中心 A 栋_x000D_
_x000D_
608室。_x000D_
_x000D_
陈式友，男，1968年 4月出生，时任董事长、董事会秘书_x000D_
_x000D_
/信息披露负责人。_x000D_
_x000D_
</t>
  </si>
  <si>
    <t xml:space="preserve">_x000D_
_x000D_
时空客集团股份有限公司（以下简称挂牌公司），住所地：_x000D_
_x000D_
辽宁省大连市高新技术产业园区 541号 8层 809室。_x000D_
_x000D_
迟敏，男，1966年 9月出生，时任董事长、董事会秘书/信_x000D_
_x000D_
息披露负责人。_x000D_
_x000D_
</t>
  </si>
  <si>
    <t xml:space="preserve">_x000D_
_x000D_
北京核新伟鸿建设工程股份有限公司（以下简称挂牌公司），_x000D_
_x000D_
住所地：北京市丰台区中关村高科技园区丰台园航丰路 13号崇_x000D_
_x000D_
新大厦 B 座 301 室。_x000D_
_x000D_
莫家胜，男，1974年 6月出生，时任董事长、董事会秘书_x000D_
_x000D_
/信息披露负责人。_x000D_
_x000D_
</t>
  </si>
  <si>
    <t xml:space="preserve">_x000D_
_x000D_
逸德汽车智能科技(常州)股份有限公司（以下简称挂牌公_x000D_
_x000D_
司），住所地：江苏省常州市天宁区虹阳路 2号天宁智能制造产_x000D_
_x000D_
业园六号。_x000D_
_x000D_
高戈，男，1976年 7月出生，时任董事长、董事会秘书/信_x000D_
_x000D_
息披露负责人。_x000D_
_x000D_
</t>
  </si>
  <si>
    <t xml:space="preserve">_x000D_
_x000D_
淄博人立文化创意股份有限公司（以下简称挂牌公司），住_x000D_
_x000D_
所地：山东省淄博市博山区石马镇中石村工业园。_x000D_
_x000D_
焦新，男，1970年 9月出生，时任董事长、董事会秘书/信_x000D_
_x000D_
息披露负责人。_x000D_
_x000D_
</t>
  </si>
  <si>
    <t xml:space="preserve">_x000D_
_x000D_
雷蒙德(北京)科技股份有限公司（以下简称挂牌公司），住_x000D_
_x000D_
所地：北京市密云区经济开发区 C区雁密路 9-1号。_x000D_
_x000D_
陈双聘，男，1963年 8月出生，时任董事长、董事会秘书_x000D_
_x000D_
/信息披露负责人。_x000D_
_x000D_
</t>
  </si>
  <si>
    <t xml:space="preserve">_x000D_
_x000D_
上海富翊装饰工程股份有限公司（以下简称挂牌公司），住_x000D_
_x000D_
所地：上海市青浦区练塘镇君博路 211号。_x000D_
_x000D_
翟峻逸，男，1972年 9月出生，时任董事长、董事会秘书_x000D_
_x000D_
/信息披露负责人。_x000D_
_x000D_
</t>
  </si>
  <si>
    <t xml:space="preserve">_x000D_
_x000D_
北京赢鼎教育科技股份有限公司（以下简称挂牌公司），住_x000D_
_x000D_
所地：北京市海淀区中关村东路 1号院 8号楼D座 9层 901室。_x000D_
_x000D_
王海涛，男，1979年 10月出生，时任董事长、董事会秘书_x000D_
_x000D_
/信息披露负责人。_x000D_
_x000D_
</t>
  </si>
  <si>
    <t xml:space="preserve">_x000D_
_x000D_
福建省闽保信息技术股份有限公司（以下简称挂牌公司），_x000D_
_x000D_
住所地：福建省福州市鼓楼区铜盘路软件大道 89号福州软件园_x000D_
_x000D_
C区 10号楼。_x000D_
_x000D_
林章威，男，1974年 11月出生，时任董事长、董事会秘书_x000D_
_x000D_
/信息披露负责人。_x000D_
_x000D_
</t>
  </si>
  <si>
    <t xml:space="preserve">_x000D_
_x000D_
广东利美隆文化股份有限公司（以下简称挂牌公司），住所_x000D_
_x000D_
地：广东省汕头市澄海区澄华工业区（原高佳玩具厂内）。_x000D_
_x000D_
蔡霖挺，男，1978年 5月出生，时任董事长、董事会秘书_x000D_
_x000D_
/信息披露负责人。_x000D_
_x000D_
</t>
  </si>
  <si>
    <t xml:space="preserve">_x000D_
_x000D_
广东澄星无人机股份有限公司（以下简称挂牌公司），住所_x000D_
_x000D_
地：广东省汕头市澄海区凤新二路凤新工业区。_x000D_
_x000D_
陈加华，男，1971年 3月出生，时任董事长、董事会秘书_x000D_
_x000D_
/信息披露负责人。_x000D_
_x000D_
</t>
  </si>
  <si>
    <t xml:space="preserve">_x000D_
_x000D_
上海爱韦讯信息技术股份有限公司（以下简称挂牌公司），_x000D_
_x000D_
住所地：上海市中国（上海）自由贸易试验区郭守敬路 498 号_x000D_
_x000D_
14幢 23106-23108-23110室。_x000D_
_x000D_
王云明，男，1972年 9月出生，时任董事长、董事会秘书_x000D_
_x000D_
/信息披露负责人。_x000D_
_x000D_
</t>
  </si>
  <si>
    <t xml:space="preserve">_x000D_
_x000D_
上海创乐人企业发展股份有限公司（以下简称挂牌公司），_x000D_
_x000D_
住所地：上海市浦东新区金桥路 939号 211室。_x000D_
_x000D_
邱国金，男，1975年 10月出生，时任董事长、董事会秘书_x000D_
_x000D_
/信息披露负责人。_x000D_
_x000D_
</t>
  </si>
  <si>
    <t xml:space="preserve">_x000D_
_x000D_
山东鸿源金属容器科技股份有限公司（以下简称挂牌公司），_x000D_
_x000D_
住所地：山东省聊城经济开发区东城高科园内(张庄村西)。_x000D_
_x000D_
薛超旭，男，1972年 3月出生，时任董事长、董事会秘书_x000D_
_x000D_
/信息披露负责人。_x000D_
_x000D_
</t>
  </si>
  <si>
    <t xml:space="preserve">_x000D_
_x000D_
安徽蓝华金属科技股份有限公司（以下简称挂牌公司），住_x000D_
_x000D_
所地：安徽省马鞍山市当涂县经济开发区。_x000D_
_x000D_
徐家平，男，1973年 12月出生，时任董事长、董事会秘书_x000D_
_x000D_
/信息披露负责人。_x000D_
_x000D_
</t>
  </si>
  <si>
    <t xml:space="preserve">_x000D_
_x000D_
北京信联众成技术股份公司（以下简称挂牌公司），住所地：_x000D_
_x000D_
北京市海淀区紫雀路 33号院 3号楼地下一层 3005。_x000D_
_x000D_
许安，女，1962 年 11 月出生，时任董事长、董事会秘书/_x000D_
_x000D_
信息披露负责人。_x000D_
_x000D_
</t>
  </si>
  <si>
    <t xml:space="preserve">_x000D_
_x000D_
厦门中闽全球环保股份有限公司（以下简称挂牌公司），住_x000D_
_x000D_
所地：厦门火炬高新区(翔安)产业区强业楼 201B室。_x000D_
_x000D_
龚耀平，男，1983年 3月出生，时任董事长、董事会秘书_x000D_
_x000D_
/信息披露负责人。_x000D_
_x000D_
</t>
  </si>
  <si>
    <t xml:space="preserve">_x000D_
_x000D_
舟山群岛新区阿尔法游艇文化旅游股份有限公司（以下简_x000D_
_x000D_
称挂牌公司），住所地：浙江省舟山市普陀区朱家尖街道普陀国_x000D_
_x000D_
际游艇公寓蓝堡山庄 25幢。_x000D_
_x000D_
李遐，女，1965年 1月出生，时任董事长、董事会秘书/信_x000D_
_x000D_
息披露负责人。_x000D_
_x000D_
</t>
  </si>
  <si>
    <t xml:space="preserve">_x000D_
_x000D_
该云(上海)科技股份有限公司（以下简称挂牌公司），住所_x000D_
_x000D_
地：上海漕河泾开发区科技绿洲中心路 1158 号 6 幢 404-3_x000D_
_x000D_
室。_x000D_
_x000D_
陈卫平，男，1957年 8月出生，时任董事长、董事会秘书_x000D_
_x000D_
/信息披露负责人。_x000D_
_x000D_
</t>
  </si>
  <si>
    <t xml:space="preserve">_x000D_
_x000D_
北京绿色空间生物科技股份有限公司（以下简称挂牌公司），_x000D_
_x000D_
住所地：北京市大兴区经济开发区科苑路 18号 1幢 A3户型一_x000D_
_x000D_
层 172室。_x000D_
_x000D_
张志强，男，1964年 3月出生，时任董事长、董事会秘书_x000D_
_x000D_
/信息披露负责人。_x000D_
_x000D_
</t>
  </si>
  <si>
    <t xml:space="preserve">_x000D_
_x000D_
湖北仕外田源网商股份有限公司（以下简称挂牌公司），住_x000D_
_x000D_
所地：湖北省宜昌市秭归茅坪镇经济开发区。_x000D_
_x000D_
汤雄，男，1982年 8月出生，时任董事长、董事会秘书/信_x000D_
_x000D_
息披露负责人。_x000D_
_x000D_
</t>
  </si>
  <si>
    <t xml:space="preserve">_x000D_
_x000D_
安徽樵森电气科技股份有限公司（以下简称挂牌公司），住_x000D_
_x000D_
所地：安徽省六安市金寨县现代产业园区。_x000D_
_x000D_
王波，男，1983年 9月出生，时任董事长、董事会秘书/信_x000D_
_x000D_
息披露负责人。_x000D_
_x000D_
</t>
  </si>
  <si>
    <t xml:space="preserve">_x000D_
_x000D_
乐美电商股份有限公司（以下简称挂牌公司），住所地：广_x000D_
_x000D_
西壮族自治区南宁市高新区创新路 23 号中关村创新示范基地_x000D_
_x000D_
11 号楼 301室。_x000D_
_x000D_
张彦超，男，1976年 2月出生，时任董事长、董事会秘书_x000D_
_x000D_
/信息披露负责人。_x000D_
_x000D_
</t>
  </si>
  <si>
    <t xml:space="preserve">_x000D_
_x000D_
郑州彩通科技股份有限公司（以下简称挂牌公司），住所地：_x000D_
_x000D_
河南省郑州市高新区翠竹街 1号 11幢。_x000D_
_x000D_
张玉峰，男，1979年 2月出生，时任董事长、董事会秘书_x000D_
_x000D_
/信息披露负责人。_x000D_
_x000D_
</t>
  </si>
  <si>
    <t xml:space="preserve">_x000D_
_x000D_
西藏勃达微波装备股份有限公司（以下简称挂牌公司），住_x000D_
_x000D_
所地：西藏拉萨市柳梧新区柳梧大厦 2楼 2室。_x000D_
_x000D_
周子瑞，女，1955年 3月出生，时任董事长、董事会秘书_x000D_
_x000D_
/信息披露负责人。_x000D_
_x000D_
</t>
  </si>
  <si>
    <t xml:space="preserve">_x000D_
_x000D_
宁波锦澄电子科技股份有限公司（以下简称挂牌公司），住_x000D_
_x000D_
所地：浙江省宁波市奉化区东郊开发区宝峰路 61号。_x000D_
_x000D_
周红战，男，1971年 11月出生，时任董事长、董事会秘书_x000D_
_x000D_
/信息披露负责人。_x000D_
_x000D_
</t>
  </si>
  <si>
    <t xml:space="preserve">_x000D_
_x000D_
北京励思信息技术股份有限公司（以下简称挂牌公司），住_x000D_
_x000D_
所地：北京市石景山区鲁谷路 74 号中国瑞达大厦 10 层 F1002。_x000D_
_x000D_
黎峰，男，1973年 2月出生，时任董事长、董事会秘书/信_x000D_
_x000D_
息披露负责人。_x000D_
_x000D_
</t>
  </si>
  <si>
    <t xml:space="preserve">_x000D_
_x000D_
北京东方嘉禾文化发展股份有限公司（以下简称挂牌公司），_x000D_
_x000D_
住所地：北京市北京经济技术开发区科创十三街 18 号院 19 号_x000D_
_x000D_
楼 5层 501-1。_x000D_
_x000D_
解喜瑞，女，1978年 8月出生，时任董事长、董事会秘书_x000D_
_x000D_
/信息披露负责人。_x000D_
_x000D_
</t>
  </si>
  <si>
    <t xml:space="preserve">_x000D_
_x000D_
广州凯路仕自行车运动时尚产业股份有限公司（以下简称_x000D_
_x000D_
挂牌公司），住所地：广东省广州市黄埔区埔北路 2号 2栋 2楼。_x000D_
_x000D_
邓永豪，男，1970年 5月出生，时任董事长、董事会秘书_x000D_
_x000D_
/信息披露负责人。_x000D_
_x000D_
</t>
  </si>
  <si>
    <t xml:space="preserve">_x000D_
_x000D_
花火（厦门）文化传播股份有限公司（以下简称挂牌公司），_x000D_
_x000D_
住所地：福建省厦门市思明区软件园二期观日路 34号 402A单_x000D_
_x000D_
元。_x000D_
_x000D_
孙小泉，男，1982年 10月出生，时任董事长、董事会秘书_x000D_
_x000D_
/信息披露负责人。_x000D_
_x000D_
</t>
  </si>
  <si>
    <t xml:space="preserve">_x000D_
_x000D_
天津君辉蓝天环保科技股份有限公司（以下简称挂牌公司），_x000D_
_x000D_
住所地：天津市东丽开发区津塘公路与五经路交口帝达东谷国_x000D_
_x000D_
际 2号楼 1109室。_x000D_
_x000D_
陈君，男，1970年 6月出生，时任董事长、董事会秘书/信_x000D_
_x000D_
息披露负责人。_x000D_
_x000D_
</t>
  </si>
  <si>
    <t xml:space="preserve">_x000D_
_x000D_
公准肉食品股份有限公司（以下简称挂牌公司），住所地：_x000D_
_x000D_
黑龙江省绥化市海伦市北环路 8号。_x000D_
_x000D_
韩义文，男，1966年 5月出生，时任董事长、董事会秘书_x000D_
_x000D_
/信息披露负责人。_x000D_
_x000D_
</t>
  </si>
  <si>
    <t xml:space="preserve">_x000D_
_x000D_
上海寅酷网络股份有限公司（以下简称挂牌公司），住所地：_x000D_
_x000D_
中国(上海)自由贸易试验区郭守敬路 351号 2幢 A637-41室。_x000D_
_x000D_
葛斌虎，男，1978年 11月出生，时任董事长、董事会秘书_x000D_
_x000D_
/信息披露负责人。_x000D_
_x000D_
</t>
  </si>
  <si>
    <t xml:space="preserve">_x000D_
_x000D_
山东农凯米业股份有限公司（以下简称挂牌公司），住所地：_x000D_
_x000D_
山东省淄博市高青县赵店镇政府驻地（湖心路北首）。_x000D_
_x000D_
刘玉莲，女，1976年 5月出生，时任董事长、董事会秘书_x000D_
_x000D_
/信息披露负责人。_x000D_
_x000D_
</t>
  </si>
  <si>
    <t xml:space="preserve">_x000D_
_x000D_
江苏艾洛维显示科技股份有限公司（以下简称挂牌公司），_x000D_
_x000D_
住所地：江苏省无锡市宜兴经济开发区永安路。_x000D_
_x000D_
刘晨，男，1973年 2月出生，时任董事长、董事会秘书/信_x000D_
_x000D_
息披露负责人。_x000D_
_x000D_
</t>
  </si>
  <si>
    <t xml:space="preserve">_x000D_
_x000D_
吉林喜报科技股份有限公司（以下简称挂牌公司），住所地：_x000D_
_x000D_
吉林省长春市高新产业开发区顺达路 789 号鸿达光电子产业园_x000D_
_x000D_
1号楼 C 座。_x000D_
_x000D_
陈金龙，男，1980年 9月出生，时任董事长、董事会秘书_x000D_
_x000D_
/信息披露负责人。_x000D_
_x000D_
</t>
  </si>
  <si>
    <t xml:space="preserve">_x000D_
_x000D_
北京国顺投资股份有限公司（以下简称挂牌公司），住所地：_x000D_
_x000D_
北京市顺义区高丽营镇文化营村北(临空二路 1号)。_x000D_
_x000D_
冯军，男，1969年 5月出生，时任董事长、董事会秘书/信_x000D_
_x000D_
息披露负责人。_x000D_
_x000D_
</t>
  </si>
  <si>
    <t xml:space="preserve">_x000D_
_x000D_
上海爱尚鲜花股份有限公司（以下简称挂牌公司），住所地：_x000D_
_x000D_
上海市普陀区金鼎路 1500号楼 3101室。_x000D_
_x000D_
邹小锋，男，1978年 8月出生，时任董事长、董事会秘书_x000D_
_x000D_
/信息披露负责人。_x000D_
_x000D_
</t>
  </si>
  <si>
    <t xml:space="preserve">_x000D_
_x000D_
北京西典展览股份有限公司（以下简称挂牌公司），住所地：_x000D_
_x000D_
北京市通州区榆西一街 1号院 4号楼 1层 101。_x000D_
_x000D_
余练武，男，1981年 4月出生，时任董事长、董事会秘书_x000D_
_x000D_
/信息披露负责人。_x000D_
_x000D_
</t>
  </si>
  <si>
    <t xml:space="preserve">_x000D_
_x000D_
黑龙江省正赫新型材料科技股份有限公司（以下简称挂牌_x000D_
_x000D_
公司），住所地：黑龙江省齐齐哈尔市富裕县富裕镇一街(纸浆道_x000D_
_x000D_
口西）。_x000D_
_x000D_
李军，男，1966年 4月出生，时任董事长、董事会秘书/信_x000D_
_x000D_
息披露负责人。_x000D_
_x000D_
</t>
  </si>
  <si>
    <t xml:space="preserve">_x000D_
_x000D_
北京腾实信科技股份有限公司（以下简称挂牌公司），住所_x000D_
_x000D_
地：北京市海淀区花园北路 14号 67幢 2层 206室。_x000D_
_x000D_
李军，男，1969年 3月出生，时任董事长、董事会秘书/信_x000D_
_x000D_
息披露负责人。_x000D_
_x000D_
</t>
  </si>
  <si>
    <t xml:space="preserve">_x000D_
_x000D_
上海和旭自动化股份有限公司（以下简称挂牌公司），住所_x000D_
_x000D_
地：上海市嘉定区丰茂路 658号 3幢 B区三层。_x000D_
_x000D_
朱棋，男，1981年 1月出生，时任董事长、董事会秘书/信_x000D_
_x000D_
息披露负责人。_x000D_
_x000D_
</t>
  </si>
  <si>
    <t xml:space="preserve">_x000D_
_x000D_
江苏康沃动力科技股份有限公司（以下简称挂牌公司），住_x000D_
_x000D_
所地：江苏省苏州市昆山市花桥镇横塘路 38号。_x000D_
_x000D_
刘配勇，男，1983年 10月出生，时任董事长、董事会秘书_x000D_
_x000D_
/信息披露负责人。_x000D_
_x000D_
</t>
  </si>
  <si>
    <t xml:space="preserve">_x000D_
_x000D_
深圳易通技术股份有限公司（以下简称挂牌公司），住所地：_x000D_
_x000D_
深圳市宝安区石岩街道塘头社区三联工业区同高公司厂房三栋_x000D_
_x000D_
一层。_x000D_
_x000D_
李明伟，男，1966年 4月出生，时任董事长、董事会秘书_x000D_
_x000D_
/信息披露负责人。_x000D_
_x000D_
</t>
  </si>
  <si>
    <t xml:space="preserve">_x000D_
_x000D_
福建好与佳生物科技股份有限公司（以下简称挂牌公司），_x000D_
_x000D_
住所地：福建省南平市建阳区童游街道办事处水东工业路 56号。_x000D_
_x000D_
李友明，男，1963年 9月出生，时任董事长、董事会秘书_x000D_
_x000D_
/信息披露负责人。_x000D_
_x000D_
</t>
  </si>
  <si>
    <t xml:space="preserve">_x000D_
_x000D_
江苏精湛光电仪器股份有限公司（以下简称挂牌公司），住_x000D_
_x000D_
所地：江苏省扬州市邗江经济开发区南园(华钢路 12号)。_x000D_
_x000D_
瞿世鲲，男，1976年 2月出生，时任董事长、董事会秘书_x000D_
_x000D_
/信息披露负责人。_x000D_
_x000D_
</t>
  </si>
  <si>
    <t xml:space="preserve">_x000D_
_x000D_
北京奋斗致远文化传媒股份有限公司（以下简称挂牌公司），_x000D_
_x000D_
住所地：北京市石景山区石景山路 22号长城大厦 A座 520室。_x000D_
_x000D_
刘英男，男，1972年 9月出生，时任董事长、董事会秘书_x000D_
_x000D_
/信息披露负责人。_x000D_
_x000D_
</t>
  </si>
  <si>
    <t xml:space="preserve">_x000D_
_x000D_
杭州智玩网络股份有限公司（以下简称挂牌公司），住所地：_x000D_
_x000D_
浙江省杭州市西湖区三墩镇池华街 332 号丰盛九玺天城 9 号楼_x000D_
_x000D_
8层 813室。_x000D_
_x000D_
徐强军，男，1981年 5月出生，时任董事长、董事会秘书_x000D_
_x000D_
/信息披露负责人。_x000D_
_x000D_
</t>
  </si>
  <si>
    <t xml:space="preserve">_x000D_
_x000D_
大连雅威特生物技术股份有限公司（以下简称挂牌公司），_x000D_
_x000D_
住所地：辽宁省大连市高新园区信达街 26号。_x000D_
_x000D_
于传兴，男，1946年 5月出生，时任董事长、董事会秘书_x000D_
_x000D_
/信息披露负责人。_x000D_
_x000D_
</t>
  </si>
  <si>
    <t xml:space="preserve">_x000D_
_x000D_
北海保通食品股份有限公司（以下简称挂牌公司），住所地：_x000D_
_x000D_
广西壮族自治区北海市海城区北部湾西路与成都路交界处。_x000D_
_x000D_
庞春远，男，1964年 6月出生，时任董事长、董事会秘书_x000D_
_x000D_
/信息披露负责人。_x000D_
_x000D_
</t>
  </si>
  <si>
    <t xml:space="preserve">_x000D_
_x000D_
北京中景橙石科技股份有限公司（以下简称挂牌公司），住_x000D_
_x000D_
所地：北京市丰台区南四环西路 188号二区 5号楼 6层。_x000D_
_x000D_
王理忠，男，1968年 3月出生，时任董事长、董事会秘书_x000D_
_x000D_
/信息披露负责人。_x000D_
_x000D_
</t>
  </si>
  <si>
    <t xml:space="preserve">_x000D_
_x000D_
云南润紫源生物科技股份有限公司（以下简称挂牌公司），_x000D_
_x000D_
住所地：云南省昆明市经开区云景路 168 号银河 T-PARK 科技_x000D_
_x000D_
园 K栋 609号。_x000D_
_x000D_
刘俊辉，男，1969年 12月出生，时任董事长、董事会秘书_x000D_
_x000D_
/信息披露负责人。_x000D_
_x000D_
</t>
  </si>
  <si>
    <t xml:space="preserve">_x000D_
_x000D_
多尔克司食品集团股份有限公司（以下简称挂牌公司），住_x000D_
_x000D_
所地：河南省焦作市武陟县北郭乡黄河滩区。_x000D_
_x000D_
戴士伟，男，1980年 6月出生，时任董事长、董事会秘书_x000D_
_x000D_
/信息披露负责人。_x000D_
_x000D_
</t>
  </si>
  <si>
    <t xml:space="preserve">_x000D_
_x000D_
上海巨乐投资发展股份有限公司（以下简称挂牌公司），住_x000D_
_x000D_
所地：上海市浦东新区茂兴路 88号欧本商务中心 411 室。_x000D_
_x000D_
LI QIANG JOHN，男，1962年 10月出生，时任董事长、_x000D_
_x000D_
董事会秘书/信息披露负责人。_x000D_
_x000D_
</t>
  </si>
  <si>
    <t xml:space="preserve">_x000D_
_x000D_
北京中科联众科技股份有限公司（以下简称挂牌公司），住_x000D_
_x000D_
所地：北京市海淀区中关村南大街 5号 1区 689号楼 908室。_x000D_
_x000D_
陈滨，男，1973年 7月出生，时任董事长、董事会秘书/信_x000D_
_x000D_
息披露负责人。_x000D_
_x000D_
</t>
  </si>
  <si>
    <t xml:space="preserve">_x000D_
_x000D_
河南一恒贞珠宝股份有限公司（以下简称挂牌公司），住所_x000D_
_x000D_
地：河南省郑州市管城区紫荆山路 72号 2号楼 20层 59号。_x000D_
_x000D_
黄飞雪，女，1968年 12月出生，时任董事长、董事会秘书_x000D_
_x000D_
/信息披露负责人。_x000D_
_x000D_
</t>
  </si>
  <si>
    <t xml:space="preserve">_x000D_
_x000D_
重庆格林绿化设计建设股份有限公司（以下简称挂牌公司），_x000D_
_x000D_
住所地：重庆市北部新区高新园人和街道金开大道 68号（协信_x000D_
_x000D_
星光天地）4幢 8楼。_x000D_
_x000D_
邓思德，男，1974年 8月出生，时任董事长、董事会秘书_x000D_
_x000D_
/信息披露负责人。_x000D_
_x000D_
</t>
  </si>
  <si>
    <t xml:space="preserve">_x000D_
_x000D_
广州盛盈汇电子商务股份有限公司（以下简称挂牌公司），_x000D_
_x000D_
住所地：广东省广州市海珠区敦和路 189-191 号海珠科技创业_x000D_
_x000D_
园 C 栋 4001 室。_x000D_
_x000D_
龙涛，男，1979年 1月出生，时任董事长、董事会秘书/信_x000D_
_x000D_
息披露负责人。_x000D_
_x000D_
</t>
  </si>
  <si>
    <t xml:space="preserve">_x000D_
_x000D_
福建万芳园林艺术股份有限公司（以下简称挂牌公司），住_x000D_
_x000D_
所地：福建省三明市三元区南永新村 31 幢光明楼二楼。_x000D_
_x000D_
吴开亮，男，1970年 2月出生，时任董事长、董事会秘书_x000D_
_x000D_
/信息披露负责人。_x000D_
_x000D_
</t>
  </si>
  <si>
    <t xml:space="preserve">_x000D_
_x000D_
华安奥特（北京）科技股份有限公司（以下简称挂牌公司），_x000D_
_x000D_
住所地：北京市海淀区北清路 103号 2号楼 2层 2-1。_x000D_
_x000D_
悦红军，男，1973年 9月出生，时任董事长、董事会秘书_x000D_
_x000D_
/信息披露负责人。_x000D_
_x000D_
</t>
  </si>
  <si>
    <t xml:space="preserve">_x000D_
_x000D_
华晟世纪教育科技(北京）股份有限公司（以下简称挂牌公_x000D_
_x000D_
司），住所地：北京市朝阳区建国路 91号院 8号楼 16层 16-02C_x000D_
_x000D_
室。_x000D_
_x000D_
吴燕江，男，1979年 3月出生，时任董事长、董事会秘书_x000D_
_x000D_
/信息披露负责人。_x000D_
_x000D_
</t>
  </si>
  <si>
    <t xml:space="preserve">_x000D_
_x000D_
山东乾云启创信息科技股份有限公司（以下简称挂牌公司），_x000D_
_x000D_
住所地：济南市高新区新泺大街 2008 号银荷大厦 B 座 1001。_x000D_
_x000D_
刘春，男，1977年 2月出生，时任董事长、董事会秘书/信_x000D_
_x000D_
息披露负责人。_x000D_
_x000D_
</t>
  </si>
  <si>
    <t xml:space="preserve">_x000D_
_x000D_
福建长潮信息科技股份有限公司（以下简称挂牌公司），住_x000D_
_x000D_
所地：厦门市集美区软件园三期诚毅大街 358号 1104单元。_x000D_
_x000D_
甘志强，男，1978年 8月出生，时任董事长、董事会秘书_x000D_
_x000D_
/信息披露负责人。_x000D_
_x000D_
</t>
  </si>
  <si>
    <t xml:space="preserve">_x000D_
_x000D_
北京康盛伟业工程技术股份有限公司（以下简称挂牌公司），_x000D_
_x000D_
住所地：北京市丰台区科学城星火路 10 号 2 号楼 530 室(园_x000D_
_x000D_
区)。_x000D_
_x000D_
张硕，男，1966 年 10 月出生，时任董事长、董事会秘书/_x000D_
_x000D_
信息披露负责人。_x000D_
_x000D_
</t>
  </si>
  <si>
    <t xml:space="preserve">_x000D_
_x000D_
湖南高盛板业股份有限公司（以下简称挂牌公司），住所地：_x000D_
_x000D_
湖南省娄底市娄星区石井镇白云石村么家组。_x000D_
_x000D_
廖群洪，男，1962年 12月出生，时任董事长、董事会秘书_x000D_
_x000D_
/信息披露负责人。_x000D_
_x000D_
</t>
  </si>
  <si>
    <t xml:space="preserve">_x000D_
_x000D_
广东力天世纪传媒股份有限公司（以下简称挂牌公司），住_x000D_
_x000D_
所地：广东省梅州市梅县区华侨城扶贵东路侨新苑一街 25 号。_x000D_
_x000D_
饶国煌，男，1984年 3月出生，时任董事长、董事会秘书_x000D_
_x000D_
/信息披露负责人。_x000D_
_x000D_
</t>
  </si>
  <si>
    <t xml:space="preserve">_x000D_
_x000D_
东莞市锐源仪器股份有限公司（以下简称挂牌公司），住所_x000D_
_x000D_
地：东莞市东城区石井桑园工业园二排二栋。_x000D_
_x000D_
吴锦来，男，1974年 1月出生，时任董事长、董事会秘书_x000D_
_x000D_
/信息披露负责人。_x000D_
_x000D_
</t>
  </si>
  <si>
    <t xml:space="preserve">_x000D_
_x000D_
上海亚美国际旅行社股份有限公司（以下简称挂牌公司），_x000D_
_x000D_
住所地：上海市长宁区娄山关路 83号新虹桥中心大厦 33层 3301_x000D_
_x000D_
室。_x000D_
_x000D_
张志刚，男，1983年 11月出生，时任董事长、董事会秘书_x000D_
_x000D_
/信息披露负责人。_x000D_
_x000D_
</t>
  </si>
  <si>
    <t xml:space="preserve">_x000D_
_x000D_
湖南奥莎动力集团股份有限公司（以下简称挂牌公司），住_x000D_
_x000D_
所地：湖南省岳阳市湘阴县卓达金谷创业园第 24 栋第 1-3 层_x000D_
_x000D_
工业厂房。_x000D_
_x000D_
李汉军，男，1965年 3月出生，时任董事长、董事会秘书_x000D_
_x000D_
/信息披露负责人。_x000D_
_x000D_
</t>
  </si>
  <si>
    <t xml:space="preserve">_x000D_
_x000D_
山东融汇管通股份有限公司（以下简称挂牌公司），住所地：_x000D_
_x000D_
山东省济南市高新区汉峪金谷 A3地块 5号楼 501。_x000D_
_x000D_
刘可岭，男，1970年 7月出生，时任董事长、董事会秘书_x000D_
_x000D_
/信息披露负责人。_x000D_
_x000D_
</t>
  </si>
  <si>
    <t xml:space="preserve">_x000D_
_x000D_
焦作中维特品药业股份有限公司（以下简称挂牌公司），住_x000D_
_x000D_
所地：河南省焦作市温县工业集聚区鑫源路 115号。_x000D_
_x000D_
张东风，男，1967年 5月出生，时任董事长、董事会秘书_x000D_
_x000D_
/信息披露负责人。_x000D_
_x000D_
</t>
  </si>
  <si>
    <t xml:space="preserve">_x000D_
_x000D_
上海能讯环保科技股份有限公司（以下简称挂牌公司），住_x000D_
_x000D_
所地：上海市静安区延安中路 596弄 21号 405室。_x000D_
_x000D_
雷尚伟，男，1982年 6月出生，时任董事长、董事会秘书_x000D_
_x000D_
/信息披露负责人。_x000D_
_x000D_
</t>
  </si>
  <si>
    <t xml:space="preserve">_x000D_
_x000D_
北京天创惠丰物联科技股份有限公司（以下简称挂牌公司），_x000D_
_x000D_
住所地：北京市丰台区海鹰路 1号院 1号楼 1层 102房间。_x000D_
_x000D_
赵若宇，男，1974年 2月出生，时任董事长、董事会秘书_x000D_
_x000D_
/信息披露负责人。_x000D_
_x000D_
</t>
  </si>
  <si>
    <t xml:space="preserve">_x000D_
_x000D_
江西吉瑞节能科技股份有限公司（以下简称挂牌公司），住_x000D_
_x000D_
所地：江西省吉安市青原区华能工业园。_x000D_
_x000D_
宋聪，男，1978 年 10 月出生，时任董事长、董事会秘书/_x000D_
_x000D_
信息披露负责人。_x000D_
_x000D_
</t>
  </si>
  <si>
    <t xml:space="preserve">_x000D_
_x000D_
深圳市浩丰科技股份有限公司（以下简称挂牌公司），住所_x000D_
_x000D_
地：广东省深圳市龙岗区平湖街道禾花社区水门路宗其坑工业_x000D_
_x000D_
区 4 栋 1、2、3层。_x000D_
_x000D_
廖兴池，男，1966年 3月出生，时任董事长、董事会秘书_x000D_
_x000D_
/信息披露负责人。_x000D_
_x000D_
</t>
  </si>
  <si>
    <t xml:space="preserve">_x000D_
_x000D_
云南安友农场股份有限公司（以下简称挂牌公司），住所地：_x000D_
_x000D_
云南省楚雄州南华县龙川镇大秋树。_x000D_
_x000D_
朱安友，男，1965年 2月出生，时任董事长、董事会秘书_x000D_
_x000D_
/信息披露负责人。_x000D_
_x000D_
</t>
  </si>
  <si>
    <t xml:space="preserve">_x000D_
_x000D_
福州紫荆动漫游戏股份有限公司（以下简称挂牌公司），住_x000D_
_x000D_
所地：福建省福州市马尾区马尾图书馆第四层。_x000D_
_x000D_
张岩岩，女，1978年 12月出生，时任董事长、董事会秘书_x000D_
_x000D_
/信息披露负责人。_x000D_
_x000D_
</t>
  </si>
  <si>
    <t xml:space="preserve">_x000D_
_x000D_
微网信通(北京)通信技术股份有限公司（以下简称挂牌公_x000D_
_x000D_
司），住所地：北京市海淀区上地十街辉煌国际东 6号楼 351室。_x000D_
_x000D_
连仁广，男，1963年 4月出生，时任董事长、董事会秘书_x000D_
_x000D_
/信息披露负责人。_x000D_
_x000D_
</t>
  </si>
  <si>
    <t xml:space="preserve">_x000D_
_x000D_
山西华盈时代智能科技股份有限公司（以下简称挂牌公司），_x000D_
_x000D_
住所地：山西省太原市综改示范区太原学府园区长治路 288 号_x000D_
_x000D_
五层 502室。_x000D_
_x000D_
华晋，男，1977年 4月出生，时任董事长、董事会秘书/信_x000D_
_x000D_
息披露负责人。_x000D_
_x000D_
</t>
  </si>
  <si>
    <t xml:space="preserve">_x000D_
_x000D_
中光高科（北京）节能投资管理股份有限公司（以下简称挂_x000D_
_x000D_
牌公司），住所地：北京市顺义区赵全营镇兆丰产业基地园盈路_x000D_
_x000D_
7 号。_x000D_
_x000D_
李如海，男，1966年 8月出生，时任董事长、董事会秘书_x000D_
_x000D_
/信息披露负责人。_x000D_
_x000D_
</t>
  </si>
  <si>
    <t xml:space="preserve">_x000D_
_x000D_
北京天信瑞安科技股份有限公司（以下简称挂牌公司），住_x000D_
_x000D_
所地：北京市海淀区西三旗沁春家园 1 号楼、2号楼、3号楼 2_x000D_
_x000D_
层 201-2032室。_x000D_
_x000D_
高忠良，男，1972年 12月出生，时任董事长、董事会秘书_x000D_
_x000D_
/信息披露负责人。_x000D_
_x000D_
</t>
  </si>
  <si>
    <t xml:space="preserve">_x000D_
_x000D_
诺威尔（天津）能源装备股份有限公司（以下简称挂牌公_x000D_
_x000D_
司），住所地：天津滨海高新区滨海科技园创新大道 346号。_x000D_
_x000D_
苏顺良，男，1968年 5月出生，时任董事长、董事会秘书_x000D_
_x000D_
/信息披露负责人。_x000D_
_x000D_
</t>
  </si>
  <si>
    <t xml:space="preserve">_x000D_
_x000D_
新疆三江实业股份有限公司（以下简称挂牌公司），住所地：_x000D_
_x000D_
新疆维吾尔自治区阿克苏地区阿克苏实验林场八队。_x000D_
_x000D_
陈洁，女，1986年 9月出生，时任董事长、董事会秘书/信_x000D_
_x000D_
息披露负责人。_x000D_
_x000D_
</t>
  </si>
  <si>
    <t xml:space="preserve">_x000D_
_x000D_
成都中联信通科技股份有限公司（以下简称挂牌公司），住_x000D_
_x000D_
所地：中国（四川）自由贸易试验区成都高新区天府大道中段_x000D_
_x000D_
1268号 1号楼 E3栋 6层 1、2、3、4、5、6、7号房。_x000D_
_x000D_
罗蕾，女，1967年 2月出生，时任董事长、董事会秘书/信_x000D_
_x000D_
息披露负责人。_x000D_
_x000D_
</t>
  </si>
  <si>
    <t xml:space="preserve">_x000D_
_x000D_
上海路骋国际旅行社股份有限公司（以下简称挂牌公司），_x000D_
_x000D_
住所地：上海市共和新路 912号 1001-1室。_x000D_
_x000D_
刘峻旸，男，1989年 1月出生，时任董事长、董事会秘书_x000D_
_x000D_
/信息披露负责人。_x000D_
_x000D_
</t>
  </si>
  <si>
    <t xml:space="preserve">_x000D_
_x000D_
云南鸿运嘉工贸发展股份有限公司（以下简称挂牌公司），_x000D_
_x000D_
住所地：云南省大理白族自治州大理市下关文化路大 30号附 1_x000D_
_x000D_
号沙河小区 4幢 7单元 1层商铺 7-3号。_x000D_
_x000D_
罗朝，男，1980年 5月出生，时任董事长、董事会秘书/信_x000D_
_x000D_
息披露负责人。_x000D_
_x000D_
</t>
  </si>
  <si>
    <t xml:space="preserve">_x000D_
_x000D_
福建三鑫隆信息技术开发股份有限公司（以下简称挂牌公_x000D_
_x000D_
司），住所地：福建省福州市马尾区湖里路 27号 1#楼 209室。_x000D_
_x000D_
张木成，男，1970年 4月出生，时任董事长、董事会秘书_x000D_
_x000D_
/信息披露负责人。_x000D_
_x000D_
</t>
  </si>
  <si>
    <t xml:space="preserve">_x000D_
_x000D_
奥吉特生物科技股份有限公司（以下简称挂牌公司），住所_x000D_
_x000D_
地：河南省开封市兰考县张庄村 6组 6号。_x000D_
_x000D_
李政伟，男，1974年 7月出生，时任董事长、董事会秘书_x000D_
_x000D_
/信息披露负责人。_x000D_
_x000D_
</t>
  </si>
  <si>
    <t xml:space="preserve">_x000D_
_x000D_
上海卓仕物流科技股份有限公司（以下简称挂牌公司），住_x000D_
_x000D_
所地：上海市嘉定区横仓公路 2465号 7幢。_x000D_
_x000D_
黄伏虎，男，1965年 1月出生，时任董事长、董事会秘书_x000D_
_x000D_
/信息披露负责人。_x000D_
_x000D_
</t>
  </si>
  <si>
    <t xml:space="preserve">_x000D_
_x000D_
大兴安岭林格贝寒带生物科技股份有限公司（以下简称挂_x000D_
_x000D_
牌公司），住所地：黑龙江省大兴安岭地区松岭区小扬气镇永兴_x000D_
_x000D_
街。_x000D_
_x000D_
姚德坤，男，1965年 10月出生，时任董事长、董事会秘书_x000D_
_x000D_
/信息披露负责人。_x000D_
_x000D_
</t>
  </si>
  <si>
    <t xml:space="preserve">_x000D_
_x000D_
爱刷(北京)科技股份有限公司（以下简称挂牌公司），住所_x000D_
_x000D_
地：北京市西城区广安门外大街 180号 7层 714。_x000D_
_x000D_
纪成军，男，1977年 4月出生，时任董事长、董事会秘书_x000D_
_x000D_
/信息披露负责人。_x000D_
_x000D_
</t>
  </si>
  <si>
    <t xml:space="preserve">_x000D_
_x000D_
重庆松德再生资源股份有限公司（以下简称挂牌公司），住_x000D_
_x000D_
所地：重庆市垫江县工业园区内 A06-A07号。_x000D_
_x000D_
蔡鸿德，男，1986年 12月出生，时任董事长、董事会秘书_x000D_
_x000D_
/信息披露负责人。_x000D_
_x000D_
</t>
  </si>
  <si>
    <t xml:space="preserve">_x000D_
_x000D_
北京赛科世纪科技股份有限公司（以下简称挂牌公司），住_x000D_
_x000D_
所地：北京市海淀区花园东路 11号泰兴大厦四层 401室。_x000D_
_x000D_
李登彪，男，1976年 4月出生，时任董事长、董事会秘书_x000D_
_x000D_
/信息披露负责人。_x000D_
_x000D_
</t>
  </si>
  <si>
    <t xml:space="preserve">_x000D_
_x000D_
云南智云信息技术股份有限公司（以下简称挂牌公司），住_x000D_
_x000D_
所地：云南省昆明市西山区安康路 9号昆房置换大厦 5层。_x000D_
_x000D_
唐胜清，男，1978年 10月出生，时任董事长、董事会秘书_x000D_
_x000D_
/信息披露负责人。_x000D_
_x000D_
</t>
  </si>
  <si>
    <t xml:space="preserve">_x000D_
_x000D_
武汉湛卢精密科技股份有限公司（以下简称挂牌公司），住_x000D_
_x000D_
所地：武汉经济技术开发区后官湖大道 88号。_x000D_
_x000D_
陈力，男，1968 年 11 月出生，时任董事长、董事会秘书/_x000D_
_x000D_
信息披露负责人。_x000D_
_x000D_
</t>
  </si>
  <si>
    <t xml:space="preserve">_x000D_
_x000D_
北京金色少年文化创意股份有限公司（以下简称挂牌公司），_x000D_
_x000D_
住所地：北京市朝阳区工体东路 18号 2号楼二层 A2137。_x000D_
_x000D_
李天合，男，1953年 1月出生，时任董事长、董事会秘书_x000D_
_x000D_
/信息披露负责人。_x000D_
_x000D_
</t>
  </si>
  <si>
    <t xml:space="preserve">_x000D_
_x000D_
鄂信钻石新材料股份有限公司（以下简称挂牌公司），住所_x000D_
_x000D_
地：湖北省鄂州市鄂东大道 188号。_x000D_
_x000D_
何南兵，男，1965年 9月出生，时任董事长、董事会秘书_x000D_
_x000D_
/信息披露负责人。_x000D_
_x000D_
</t>
  </si>
  <si>
    <t xml:space="preserve">_x000D_
_x000D_
湖南力天高新材料股份有限公司（以下简称挂牌公司），住_x000D_
_x000D_
所地：湖南省安化县高明乡高明工业园。_x000D_
_x000D_
李湘军，男，1975年 5月出生，时任董事长、董事会秘书_x000D_
_x000D_
/信息披露负责人。_x000D_
_x000D_
</t>
  </si>
  <si>
    <t xml:space="preserve">_x000D_
_x000D_
武汉振源电气股份有限公司（以下简称挂牌公司），住所地：_x000D_
_x000D_
武汉市东西湖辛安渡工业园 20号。_x000D_
_x000D_
刘俊义，男，1965年 11月出生，时任董事长、董事会秘书_x000D_
_x000D_
/信息披露负责人。_x000D_
_x000D_
</t>
  </si>
  <si>
    <t xml:space="preserve">_x000D_
_x000D_
无锡隆玛科技股份有限公司（以下简称挂牌公司），住所地：_x000D_
_x000D_
江苏省无锡市新区旺庄工业园三区二期 1号标准厂房。_x000D_
_x000D_
杨朝辉，男，1978年 6月出生，时任董事长、董事会秘书_x000D_
_x000D_
/信息披露负责人。_x000D_
_x000D_
</t>
  </si>
  <si>
    <t xml:space="preserve">_x000D_
_x000D_
广东精讯科技股份有限公司（以下简称挂牌公司），住所地：_x000D_
_x000D_
广东省珠海市吉大九洲大道中 1083号三层 A号。_x000D_
_x000D_
张合艳，女，1981年 9月出生，时任董事长、董事会秘书_x000D_
_x000D_
/信息披露负责人。_x000D_
_x000D_
</t>
  </si>
  <si>
    <t xml:space="preserve">_x000D_
_x000D_
黄石汇波材料科技股份有限公司（以下简称挂牌公司），住_x000D_
_x000D_
所地：湖北省黄石市磁湖路 231号。_x000D_
_x000D_
余波，男，1964 年 12 月出生，时任董事长、董事会秘书/_x000D_
_x000D_
信息披露负责人。_x000D_
_x000D_
</t>
  </si>
  <si>
    <t xml:space="preserve">_x000D_
_x000D_
湖南金旅环保股份有限公司（以下简称挂牌公司），住所地：_x000D_
_x000D_
湖南省长沙市芙蓉区高新技术产业开发区隆平高科技园管委会_x000D_
_x000D_
办公楼四楼。_x000D_
_x000D_
阳绯文，男，1967年 9月出生，时任董事长、董事会秘书_x000D_
_x000D_
/信息披露负责人。_x000D_
_x000D_
</t>
  </si>
  <si>
    <t xml:space="preserve">_x000D_
_x000D_
浙江曼克斯缝纫机股份有限公司（以下简称挂牌公司），住_x000D_
_x000D_
所地：浙江省台州市椒江区洪家街道经中路 2289号。_x000D_
_x000D_
茅小勇，男，1982年 5月出生，时任董事长、董事会秘书_x000D_
_x000D_
/信息披露负责人。_x000D_
_x000D_
</t>
  </si>
  <si>
    <t xml:space="preserve">_x000D_
_x000D_
上海华昕文化传媒股份有限公司（以下简称挂牌公司），住_x000D_
_x000D_
所地：上海市静安区万荣路 83-105（单），105号-1号 201-7室。_x000D_
_x000D_
李文伍，男，1971年 5月出生，时任董事长、董事会秘书_x000D_
_x000D_
/信息披露负责人。_x000D_
_x000D_
</t>
  </si>
  <si>
    <t xml:space="preserve">_x000D_
_x000D_
浙江铭阳工程管理股份有限公司（以下简称挂牌公司），住_x000D_
_x000D_
所地：浙江省杭州市萧山区振宁路 600号国丰大厦 A座 17楼。_x000D_
_x000D_
余建国，男，1977年 12月出生，时任董事长、董事会秘书_x000D_
_x000D_
/信息披露负责人。_x000D_
_x000D_
</t>
  </si>
  <si>
    <t xml:space="preserve">_x000D_
_x000D_
北京都市鼎点科技股份有限公司（以下简称挂牌公司），住_x000D_
_x000D_
所地：北京市东城区夕照寺街 14号 4号楼五层 519单元。_x000D_
_x000D_
韩庆军，男，1973年 3月出生，时任董事长、董事会秘书_x000D_
_x000D_
/信息披露负责人。_x000D_
_x000D_
</t>
  </si>
  <si>
    <t xml:space="preserve">_x000D_
_x000D_
广东温迪数字传播股份有限公司（以下简称挂牌公司），住_x000D_
_x000D_
所地：广东省广州市越秀区东风中路 300 号之一自编 19 楼 G_x000D_
_x000D_
房。_x000D_
_x000D_
关丽芬，女，1975年 3月出生，时任董事长、董事会秘书_x000D_
_x000D_
/信息披露负责人。_x000D_
_x000D_
</t>
  </si>
  <si>
    <t xml:space="preserve">_x000D_
_x000D_
上海易所试网络信息技术股份有限公司（以下简称挂牌公_x000D_
_x000D_
司），住所地：上海市虹口区周家嘴路 602号 C座。_x000D_
_x000D_
章源，男，1980年 4月出生，时任董事长、董事会秘书/信_x000D_
_x000D_
息披露负责人。_x000D_
_x000D_
</t>
  </si>
  <si>
    <t xml:space="preserve">_x000D_
_x000D_
淄博华绵制衣股份有限公司（以下简称挂牌公司），住所地：_x000D_
_x000D_
山东省淄博市博山区颜北路 126号。_x000D_
_x000D_
高菲，男，1982年 6月出生，时任董事长、董事会秘书/信_x000D_
_x000D_
息披露负责人。_x000D_
_x000D_
</t>
  </si>
  <si>
    <t xml:space="preserve">_x000D_
_x000D_
大连神州云融合网络股份有限公司（以下简称挂牌公司），_x000D_
_x000D_
住所地：辽宁省大连市高新技术产业园区高能街 125 号五层-2_x000D_
_x000D_
号。_x000D_
_x000D_
王香琳，女，1980年 1月出生，时任董事长、董事会秘书_x000D_
_x000D_
/信息披露负责人。_x000D_
_x000D_
</t>
  </si>
  <si>
    <t xml:space="preserve">_x000D_
_x000D_
山东众和植保机械股份有限公司（以下简称挂牌公司），住_x000D_
_x000D_
所地：山东省烟台市栖霞经济开发区安徽路。_x000D_
_x000D_
武德林，男，1969年 7月出生，时任董事长、董事会秘书_x000D_
_x000D_
/信息披露负责人。_x000D_
_x000D_
</t>
  </si>
  <si>
    <t xml:space="preserve">_x000D_
_x000D_
吉林省宜家清洁股份有限公司（以下简称挂牌公司），住所_x000D_
_x000D_
地：吉林省长春市高新北区盛北大街 3333号北湖科技园产业一_x000D_
_x000D_
期 A10栋 401室。_x000D_
_x000D_
田旭，男，1976年 4月出生，时任董事长、董事会秘书/信_x000D_
_x000D_
息披露负责人。_x000D_
_x000D_
</t>
  </si>
  <si>
    <t xml:space="preserve">_x000D_
_x000D_
中钰医疗控股（北京）股份有限公司（以下简称挂牌公司），_x000D_
_x000D_
住所地：北京市朝阳区永安东里甲 3号院 1号楼 21层 2501号。_x000D_
_x000D_
林小军，男，1965年 8月出生，时任董事长、董事会秘书_x000D_
_x000D_
/信息披露负责人。_x000D_
_x000D_
</t>
  </si>
  <si>
    <t xml:space="preserve">_x000D_
_x000D_
青岛明药堂医疗股份有限公司（以下简称挂牌公司），住所_x000D_
_x000D_
地：山东省青岛市高新技术产业开发区锦业路 1 号 A1 座二、_x000D_
_x000D_
三、四层。_x000D_
_x000D_
李育强，男，1963年 10月出生，时任董事长、董事会秘书_x000D_
_x000D_
/信息披露负责人。_x000D_
_x000D_
</t>
  </si>
  <si>
    <t xml:space="preserve">_x000D_
_x000D_
上海医微讯数字科技股份有限公司（以下简称挂牌公司），_x000D_
_x000D_
住所地：上海市徐汇区枫林路 388号 601-02室。_x000D_
_x000D_
潘耿，男，1979年 1月出生，时任董事长、董事会秘书/信_x000D_
_x000D_
息披露负责人。_x000D_
_x000D_
</t>
  </si>
  <si>
    <t xml:space="preserve">_x000D_
_x000D_
北京欧迅体育文化股份有限公司（以下简称挂牌公司），住_x000D_
_x000D_
所地：北京市东城区藏经馆胡同 17号 1幢 1297室。_x000D_
_x000D_
朱晓东，男，1972年 2月出生，时任董事长、董事会秘书_x000D_
_x000D_
/信息披露负责人。_x000D_
_x000D_
</t>
  </si>
  <si>
    <t xml:space="preserve">_x000D_
_x000D_
珠海市蓝海之略医疗股份有限公司（以下简称挂牌公司），_x000D_
_x000D_
住所地：珠海市万山镇政府附楼 508室。_x000D_
_x000D_
罗志林，男，1964年 4月出生，时任董事长、董事会秘书_x000D_
_x000D_
/信息披露负责人。_x000D_
_x000D_
</t>
  </si>
  <si>
    <t xml:space="preserve">_x000D_
_x000D_
北京百程国际旅游股份有限公司（以下简称挂牌公司），住_x000D_
_x000D_
所地：北京市东城区和平里东街 11号 37号楼 213-C29号。_x000D_
_x000D_
曾松，男，1970 年 10 月出生，时任董事长、董事会秘书/_x000D_
_x000D_
信息披露负责人。_x000D_
_x000D_
</t>
  </si>
  <si>
    <t xml:space="preserve">_x000D_
_x000D_
国建新能科技股份有限公司（以下简称挂牌公司），住所地：_x000D_
_x000D_
山东省枣庄市高新区光明西路1677号枣庄浙商总部大厦 23 层。_x000D_
_x000D_
张松孝，男，1986年 5月出生，时任董事长、董事会秘书_x000D_
_x000D_
/信息披露负责人。_x000D_
_x000D_
</t>
  </si>
  <si>
    <t xml:space="preserve">_x000D_
_x000D_
上海利隆新媒体股份有限公司（以下简称挂牌公司），住所_x000D_
_x000D_
地：上海市嘉定区兴庆路 1327 号 2 幢。_x000D_
_x000D_
邵晨纲，男，1972年 6月出生，时任董事长、董事会秘书_x000D_
_x000D_
/信息披露负责人。_x000D_
_x000D_
</t>
  </si>
  <si>
    <t xml:space="preserve">_x000D_
_x000D_
深圳市中瀛鑫科技股份有限公司（以下简称挂牌公司），住_x000D_
_x000D_
所地：广东省深圳市福田区东方新天地广场（大中华国际金融_x000D_
_x000D_
中心）A座 22楼。_x000D_
_x000D_
陈文明，男，1976年 7月出生，时任董事长、董事会秘书_x000D_
_x000D_
/信息披露负责人。_x000D_
_x000D_
</t>
  </si>
  <si>
    <t xml:space="preserve">_x000D_
_x000D_
北京三友创美饲料科技股份有限公司（以下简称挂牌公司），_x000D_
_x000D_
住所地：北京市顺义区高丽营镇文化营村北。_x000D_
_x000D_
佟光辉，男，1962年 5月出生，时任董事长、董事会秘书_x000D_
_x000D_
/信息披露负责人。_x000D_
_x000D_
</t>
  </si>
  <si>
    <t xml:space="preserve">_x000D_
_x000D_
元亨利珠宝股份有限公司（以下简称挂牌公司），住所地：_x000D_
_x000D_
河南省郑州市管城区紫荆山路 72号 2号楼 24层。_x000D_
_x000D_
谢宗选，男，1964年 10月出生，时任董事长。_x000D_
_x000D_
黄旭文，女，1966年 4月出生，时任董事会秘书/时任信息_x000D_
_x000D_
披露负责人。_x000D_
_x000D_
</t>
  </si>
  <si>
    <t xml:space="preserve">_x000D_
_x000D_
山东澳泰药剂股份有限公司（以下简称挂牌公司），住所地：_x000D_
_x000D_
山东省淄博市博山区域城镇尚庄村。_x000D_
_x000D_
李大伟，男，1982年 7月出生，时任董事长。_x000D_
_x000D_
梁宁宁，女，1983年 6月出生，时任董事会秘书/时任信息_x000D_
_x000D_
披露负责人。_x000D_
_x000D_
</t>
  </si>
  <si>
    <t xml:space="preserve">_x000D_
_x000D_
东莞市德尔能新能源股份有限公司（以下简称挂牌公司），_x000D_
_x000D_
住所地：广东省东莞市大朗镇巷头社区金朗北路 243号。_x000D_
_x000D_
刘厚德，男，1974年 7月出生，时任董事长。_x000D_
_x000D_
辛创，男，1987 年 12 月出生，时任董事会秘书/时任信息_x000D_
_x000D_
披露负责人。_x000D_
_x000D_
</t>
  </si>
  <si>
    <t xml:space="preserve">_x000D_
_x000D_
江西大族能源科技股份有限公司（以下简称挂牌公司），住_x000D_
_x000D_
所地：江西省南昌市高新开发区高新七路 918号。_x000D_
_x000D_
周朝明，男，1966年 6月出生，时任董事长。_x000D_
_x000D_
钱小玲，女，1985 年 10 月出生，时任董事会秘书/时任信_x000D_
_x000D_
息披露负责人。_x000D_
_x000D_
</t>
  </si>
  <si>
    <t xml:space="preserve">_x000D_
_x000D_
深圳市恒康达国际食品股份有限公司（以下简称挂牌公司），_x000D_
_x000D_
住所地：深圳市福田区益田路与福华三路交界深圳国际商会中_x000D_
_x000D_
心 0501、0502、0503、0515。_x000D_
_x000D_
李钢，男，1973年 2月出生，时任董事长。_x000D_
_x000D_
刘旭南，男，1987年 5月出生，时任董事会秘书/时任信息_x000D_
_x000D_
披露负责人。_x000D_
_x000D_
</t>
  </si>
  <si>
    <t xml:space="preserve">_x000D_
_x000D_
宁波科莱尔节能科技股份有限公司（以下简称挂牌公司），_x000D_
_x000D_
住所地：浙江省宁波市高新区剑兰路 399号 3-05室。_x000D_
_x000D_
王伟斌，男，1988年 9月出生，时任董事长。_x000D_
_x000D_
赵春玲，女，1964 年 10 月出生，时任董事会秘书/时任信_x000D_
_x000D_
息披露负责人。_x000D_
_x000D_
</t>
  </si>
  <si>
    <t xml:space="preserve">_x000D_
_x000D_
江苏聚业机械装备股份有限公司（以下简称挂牌公司），住_x000D_
_x000D_
所地：江苏省无锡市惠山区阳山镇天顺路 12号。_x000D_
_x000D_
张聚峰，男，1980年 7月出生，时任董事长。_x000D_
_x000D_
钦治，男，1977年 2月出生，时任董事会秘书/时任信息披_x000D_
_x000D_
露负责人。_x000D_
_x000D_
</t>
  </si>
  <si>
    <t xml:space="preserve">_x000D_
_x000D_
北京中诚昊天科技股份有限公司（以下简称挂牌公司），住_x000D_
_x000D_
所地：北京市海淀区苏州街 55号名商大厦 1006室。_x000D_
_x000D_
李小年，男，1971年 2月出生，时任董事长。_x000D_
_x000D_
王月秋，女，1981年 8月出生，时任董事会秘书/时任信息_x000D_
_x000D_
披露负责人。_x000D_
_x000D_
</t>
  </si>
  <si>
    <t xml:space="preserve">_x000D_
_x000D_
山东华翼微电子技术股份有限公司（以下简称挂牌公司），_x000D_
_x000D_
住所地：济南市高新区新泺大街 1768 号齐鲁软件园大厦 B 座_x000D_
_x000D_
B-302室。_x000D_
_x000D_
张酣，男，1970年 11月出生，时任董事长。_x000D_
_x000D_
杨艳黎，女，1974 年 11 月出生，时任董事会秘书/时任信_x000D_
_x000D_
息披露负责人。_x000D_
_x000D_
</t>
  </si>
  <si>
    <t xml:space="preserve">_x000D_
_x000D_
山东永平再生资源股份有限公司（以下简称挂牌公司），住_x000D_
_x000D_
所地：山东省潍坊市高密市胶河疏港物流园区驻地。_x000D_
_x000D_
孙学萍，男，1978年 11月出生，时任董事长。_x000D_
_x000D_
周金水，男，1976 年 10 月出生，时任董事会秘书/时任信_x000D_
_x000D_
息披露负责人。_x000D_
_x000D_
</t>
  </si>
  <si>
    <t xml:space="preserve">_x000D_
_x000D_
广东盛世华诚保险销售股份有限公司（以下简称挂牌公司），_x000D_
_x000D_
住所地：广东省广州市从化区明珠工业园明珠大道北 63号自编_x000D_
_x000D_
之 21房。_x000D_
_x000D_
李志虎，男，1973年 9月出生，时任董事长。_x000D_
_x000D_
易素敏，女，1982年 9月出生，时任董事会秘书/时任信息_x000D_
_x000D_
披露负责人。_x000D_
_x000D_
</t>
  </si>
  <si>
    <t xml:space="preserve">_x000D_
_x000D_
萍乡华维电瓷科技股份有限公司（以下简称挂牌公司），住_x000D_
_x000D_
所地：江西省萍乡市芦溪县科技工业园电瓷工业城。_x000D_
_x000D_
胡文华，男，1972年 10月出生，时任董事长。_x000D_
_x000D_
李玉芳，女，1976年 3月出生，时任董事会秘书/时任信息_x000D_
_x000D_
披露负责人。_x000D_
_x000D_
</t>
  </si>
  <si>
    <t xml:space="preserve">_x000D_
_x000D_
广州傲胜人造草股份有限公司（以下简称挂牌公司），住所_x000D_
_x000D_
地：广东省广州市经济技术开发区东区骏达路 19号。_x000D_
_x000D_
朱江峰，男，1973年 5月出生，时任董事长。_x000D_
_x000D_
宋若芳，女，1980年 2月出生，时任董事会秘书/时任信息_x000D_
_x000D_
披露负责人。_x000D_
_x000D_
</t>
  </si>
  <si>
    <t xml:space="preserve">_x000D_
_x000D_
深圳恒泰智联股份有限公司（以下简称挂牌公司），住所地：_x000D_
_x000D_
广东省深圳市南山区西丽街道中山园路 1001号 TCL 国际 E城_x000D_
_x000D_
E3栋二楼。_x000D_
_x000D_
李泽鑫，男，1986年 2月出生，时任董事长。_x000D_
_x000D_
柯荷英，女，1979年 8月出生，时任董事会秘书/时任信息_x000D_
_x000D_
披露负责人。_x000D_
_x000D_
</t>
  </si>
  <si>
    <t xml:space="preserve">_x000D_
_x000D_
福建伟思国瑞软件股份有限公司（以下简称挂牌公司），住_x000D_
_x000D_
所地：福建省福州市开发区长安投资区长盛路 2 号长天工业园_x000D_
_x000D_
A6幢三层厂房（自贸试验区内）。_x000D_
_x000D_
池生金，男，1977年 4月出生，时任董事长。_x000D_
_x000D_
黄碧榕，女，1978年 8月出生，时任董事会秘书/时任信息_x000D_
_x000D_
披露负责人。_x000D_
_x000D_
</t>
  </si>
  <si>
    <t xml:space="preserve">_x000D_
_x000D_
上海陆道智城文化创意产业集团股份有限公司（以下简称_x000D_
_x000D_
挂牌公司），住所地：上海市徐汇区桂平路 680号 33幢 301-14_x000D_
_x000D_
室。_x000D_
_x000D_
刘笑盈，男，1956年 7月出生，时任董事长。_x000D_
_x000D_
张和虎，男，1970 年 12 月出生，时任董事会秘书/时任信_x000D_
_x000D_
息披露负责人。_x000D_
_x000D_
</t>
  </si>
  <si>
    <t xml:space="preserve">_x000D_
_x000D_
广州市仪美医用家具科技股份有限公司（以下简称挂牌公_x000D_
_x000D_
司），住所地：广东省广州市白云区北太路 1633 号广州民营科_x000D_
_x000D_
技园科兴西路 13号自编 B1-B2栋 1楼、B1栋 2楼北侧。_x000D_
_x000D_
李勇，男，1972年 11月出生，时任董事长。_x000D_
_x000D_
李丽娜，女，1988年 6月出生，时任董事会秘书/时任信息_x000D_
_x000D_
披露负责人。_x000D_
_x000D_
</t>
  </si>
  <si>
    <t xml:space="preserve">_x000D_
_x000D_
福玛特机器人科技股份有限公司（以下简称挂牌公司），住_x000D_
_x000D_
所地：北京市西城区新街口外大街 8号 5 幢一层 012号（德胜_x000D_
_x000D_
园区）。_x000D_
_x000D_
宋红丽，女，1977年 11月出生，时任董事长。_x000D_
_x000D_
于淼，女，1986年 2月出生，时任董事会秘书/时任信息披_x000D_
_x000D_
露负责人。_x000D_
_x000D_
</t>
  </si>
  <si>
    <t xml:space="preserve">_x000D_
_x000D_
深圳京金动力股份有限公司（以下简称挂牌公司），住所地：_x000D_
_x000D_
深圳市福田区福保街道福保社区金花路 1号振和大厦四层 401。_x000D_
_x000D_
王锋，男，1979年 10月出生，时任董事长。_x000D_
_x000D_
齐欣，男，1981年 6月出生，时任董事会秘书/时任信息披_x000D_
_x000D_
露负责人。_x000D_
_x000D_
</t>
  </si>
  <si>
    <t xml:space="preserve">_x000D_
_x000D_
大连玉洋集团股份有限公司（以下简称挂牌公司），住所地：_x000D_
_x000D_
辽宁省庄河市滨海路打拉腰庄打路 957号。_x000D_
_x000D_
于志洋，男，1972年 9月出生，时任董事长。_x000D_
_x000D_
邢伦，男，1982年 8月出生，时任董事会秘书/时任信息披_x000D_
_x000D_
露负责人。_x000D_
_x000D_
</t>
  </si>
  <si>
    <t xml:space="preserve">_x000D_
_x000D_
河北尚真新材料科技股份有限公司（以下简称挂牌公司），_x000D_
_x000D_
住所地：河北省阜城县霞口镇。_x000D_
_x000D_
邢文博，男，1982年 3月出生，时任董事长。_x000D_
_x000D_
焦丹丹，女，1984年 4月出生，时任董事会秘书/时任信息_x000D_
_x000D_
披露负责人。_x000D_
_x000D_
</t>
  </si>
  <si>
    <t xml:space="preserve">_x000D_
_x000D_
广州市日森机械股份有限公司（以下简称挂牌公司），住所_x000D_
_x000D_
地：广州市天河区珠吉路 50号 E。_x000D_
_x000D_
何顺祥，男，1962年 8月出生，时任董事长。_x000D_
_x000D_
谢跃文，女，1966 年 10 月出生，时任董事会秘书/时任信_x000D_
_x000D_
息披露负责人。_x000D_
_x000D_
</t>
  </si>
  <si>
    <t xml:space="preserve">_x000D_
_x000D_
华夏明科(北京)互联网技术股份有限公司（以下简称挂牌公_x000D_
_x000D_
司），住所地：北京市西城区德胜门外大街 36 号德胜凯旋大厦_x000D_
_x000D_
B座 18层。_x000D_
_x000D_
高轶群，男，1982年 8月出生，时任董事长。_x000D_
_x000D_
姚红丽，女，1968 年 10 月出生，时任董事会秘书/时任信_x000D_
_x000D_
息披露负责人。_x000D_
_x000D_
</t>
  </si>
  <si>
    <t xml:space="preserve">_x000D_
_x000D_
北京荣程创新科技发展股份有限公司（以下简称挂牌公司），_x000D_
_x000D_
住所地：北京市朝阳区酒仙桥驼房营路八号新华科技大厦 517。_x000D_
_x000D_
司冰，男，1978年 4月出生，时任董事长。_x000D_
_x000D_
刘瑒，女，1982年 2月出生，时任董事会秘书/时任信息披_x000D_
_x000D_
露负责人。_x000D_
_x000D_
</t>
  </si>
  <si>
    <t xml:space="preserve">_x000D_
_x000D_
宁夏成丰农业科技开发股份有限公司（以下简称挂牌公司），_x000D_
_x000D_
住所地：宁夏回族自治区灵武市羊绒产业园区黄河路与嘉源路_x000D_
_x000D_
交叉路口。_x000D_
_x000D_
丁生国，男，1964年 5月出生，时任董事长。_x000D_
_x000D_
杨丽娟，女，1970年 3月出生，时任董事会秘书/时任信息_x000D_
_x000D_
披露负责人。_x000D_
_x000D_
</t>
  </si>
  <si>
    <t xml:space="preserve">_x000D_
_x000D_
宁夏万仕隆冷冻科技股份有限公司（以下简称挂牌公司），_x000D_
_x000D_
住所地：宁夏回族自治区银川市西夏区经天东路 76号。_x000D_
_x000D_
陈晓华，男，1966年 9月出生，时任董事长。_x000D_
_x000D_
孔德媛，女，1982年 9月出生，时任董事会秘书/时任信息_x000D_
_x000D_
披露负责人。_x000D_
_x000D_
</t>
  </si>
  <si>
    <t xml:space="preserve">_x000D_
_x000D_
宁夏原歌葡萄酒庄股份有限公司（以下简称挂牌公司），住_x000D_
_x000D_
所地：宁夏回族自治区银川市贺兰山东麓贺兰县金山生态葡萄_x000D_
_x000D_
产业园（110国道 1218里程碑处）。_x000D_
_x000D_
田生良，男，1972年 4月出生，时任董事长。_x000D_
_x000D_
党军，男，1986年 1月出生，时任董事会秘书/时任信息披_x000D_
_x000D_
露负责人。_x000D_
_x000D_
</t>
  </si>
  <si>
    <t xml:space="preserve">_x000D_
_x000D_
深圳世能科泰能源技术股份有限公司（以下简称挂牌公司），_x000D_
_x000D_
住所地：深圳市南山区粤海街道东滨路 4078号永新汇 1号楼 15_x000D_
_x000D_
层。_x000D_
_x000D_
沈忠东，男，1972年 4月出生，时任董事长。_x000D_
_x000D_
沈忠德，男，1974 年 10 月出生，时任董事会秘书/时任信_x000D_
_x000D_
息披露负责人。_x000D_
_x000D_
</t>
  </si>
  <si>
    <t xml:space="preserve">_x000D_
_x000D_
宁夏智诚安环科技发展股份有限公司（以下简称挂牌公司），_x000D_
_x000D_
住所地：银川市金凤区宁安大街 490号 IBI育成中心二期 10号_x000D_
_x000D_
楼 506室。_x000D_
_x000D_
刘国辰，男，1978年 7月出生，时任董事长。_x000D_
_x000D_
王静，女，1986 年 12 月出生，时任董事会秘书/时任信息_x000D_
_x000D_
披露负责人。_x000D_
_x000D_
</t>
  </si>
  <si>
    <t xml:space="preserve">_x000D_
_x000D_
湖南蒙生生物科技股份有限公司（以下简称挂牌公司），住_x000D_
_x000D_
所地：湖南省湘潭市高新区双拥路 27 号创新创业园 A3 栋 401_x000D_
_x000D_
号。_x000D_
_x000D_
蒙卫红，女，1969年 1月出生，时任董事长。_x000D_
_x000D_
徐蒙，男，1991年 1月出生，时任董事会秘书/时任信息披_x000D_
_x000D_
露负责人。_x000D_
_x000D_
</t>
  </si>
  <si>
    <t xml:space="preserve">_x000D_
_x000D_
武汉同强商用厨房设备科技股份有限公司（以下简称挂牌_x000D_
_x000D_
公司），住所地：湖北省武汉市洪山区青菱都市工业园银湖白沙_x000D_
_x000D_
洲企业城 51栋。_x000D_
_x000D_
赵文星，男，1967年 10月出生，时任董事长。_x000D_
_x000D_
涂强，男，1983 年 12 月出生，时任董事会秘书/时任信息_x000D_
_x000D_
披露负责人。_x000D_
_x000D_
</t>
  </si>
  <si>
    <t xml:space="preserve">_x000D_
_x000D_
武汉博茗低碳产业股份有限公司（以下简称挂牌公司），住_x000D_
_x000D_
所地：湖北省武汉市东湖新技术开发区光谷大道 58号关南福星_x000D_
_x000D_
医药园 3栋 804。_x000D_
_x000D_
胡晓利，男，1979年 5月出生，时任董事长。_x000D_
_x000D_
郝振磊，男，1982年 8月出生，时任董事会秘书/时任信息_x000D_
_x000D_
披露负责人。_x000D_
_x000D_
</t>
  </si>
  <si>
    <t xml:space="preserve">_x000D_
_x000D_
浙江宇清热工科技股份有限公司（以下简称挂牌公司），住_x000D_
_x000D_
所地：浙江省湖州市长兴县林城镇方山窑村。_x000D_
_x000D_
吴月民，男，1961年 7月出生，时任董事长。_x000D_
_x000D_
胡彬，男，1987年 3月出生，时任董事会秘书/时任信息披_x000D_
_x000D_
露负责人。_x000D_
_x000D_
</t>
  </si>
  <si>
    <t xml:space="preserve">_x000D_
_x000D_
浙江原态农业股份有限公司（以下简称挂牌公司），住所地：_x000D_
_x000D_
浙江省温州市泰顺县大安乡大丘坪村。_x000D_
_x000D_
徐伟凑，男，1982年 9月出生，时任董事长。_x000D_
_x000D_
董芳芳，女，1989年 9月出生，时任董事会秘书/时任信息_x000D_
_x000D_
披露负责人。_x000D_
_x000D_
</t>
  </si>
  <si>
    <t xml:space="preserve">_x000D_
_x000D_
酒泉华杰电气股份有限公司（以下简称挂牌公司），住所地：_x000D_
_x000D_
甘肃省酒泉市经济技术开发区纬三路 8号。_x000D_
_x000D_
于杰华，男，1965年 8月出生，时任董事长。_x000D_
_x000D_
曾蓉，女，1991年 9月出生，时任董事会秘书/时任信息披_x000D_
_x000D_
露负责人。_x000D_
_x000D_
</t>
  </si>
  <si>
    <t xml:space="preserve">_x000D_
_x000D_
宁波柏泽供应链管理股份有限公司（以下简称挂牌公司），_x000D_
_x000D_
住所地：浙江省宁波市鄞州区前河南路 1016号 601室。_x000D_
_x000D_
胡逸毅，男，1976年 1月出生，时任董事长。_x000D_
_x000D_
王锦波，男，1981 年 10 月出生，时任董事会秘书/时任信_x000D_
_x000D_
息披露负责人。_x000D_
_x000D_
</t>
  </si>
  <si>
    <t xml:space="preserve">_x000D_
_x000D_
成都嘉尚广告传媒股份有限公司（以下简称挂牌公司），住_x000D_
_x000D_
所地：四川省成都市人民南路一段 86号城市之心 29楼。_x000D_
_x000D_
张笑童，男，1981年 8月出生，时任董事长。_x000D_
_x000D_
袁冰，女，1988年 5月出生，时任董事会秘书/时任信息披_x000D_
_x000D_
露负责人。_x000D_
_x000D_
</t>
  </si>
  <si>
    <t xml:space="preserve">_x000D_
_x000D_
浙江久灵早教用品科技股份有限公司（以下简称挂牌公司），_x000D_
_x000D_
住所地：浙江省义乌市上溪镇新潘路 7号。_x000D_
_x000D_
沈从伟，男，1978年 2月出生，时任董事长。_x000D_
_x000D_
葛建奇，男，1991 年 12 月出生，时任董事会秘书/时任信_x000D_
_x000D_
息披露负责人。_x000D_
_x000D_
</t>
  </si>
  <si>
    <t xml:space="preserve">_x000D_
_x000D_
浙江昊能光电股份有限公司（以下简称挂牌公司），住所地：_x000D_
_x000D_
浙江省嘉兴市海宁市黄湾镇枕江路 21号。_x000D_
_x000D_
吕良杰，男，1968年 5月出生，时任董事长。_x000D_
_x000D_
秦汝斌，女，1984 年 10 月出生，时任董事会秘书/时任信_x000D_
_x000D_
息披露负责人。_x000D_
_x000D_
</t>
  </si>
  <si>
    <t xml:space="preserve">_x000D_
_x000D_
江苏康倍得药业股份有限公司（以下简称挂牌公司），住所_x000D_
_x000D_
地：江苏省南京市沿江工业开发区中山科技园中鑫路 709号。_x000D_
_x000D_
王树明，男，1969年 5月出生，时任董事长。_x000D_
_x000D_
宋莉，女，1977 年 11 月出生，时任董事会秘书/时任信息_x000D_
_x000D_
披露负责人。_x000D_
_x000D_
</t>
  </si>
  <si>
    <t xml:space="preserve">_x000D_
_x000D_
大连隆源气体科技股份有限公司（以下简称挂牌公司），住_x000D_
_x000D_
所地：辽宁省大连市普兰店区铁西路 12A号。_x000D_
_x000D_
阮树亮，男，1955年 10月出生，时任董事长。_x000D_
_x000D_
阮汉青，男，1982年 6月出生，时任董事会秘书/时任信息_x000D_
_x000D_
披露负责人。_x000D_
_x000D_
</t>
  </si>
  <si>
    <t xml:space="preserve">_x000D_
_x000D_
大庆亚东无纺新材料股份有限公司（以下简称挂牌公司），_x000D_
_x000D_
住所地：黑龙江省大庆市红岗区铁人生态工业园区萨大中路 261_x000D_
_x000D_
号。_x000D_
_x000D_
白亚东，男，1953年 12月出生，时任董事长。_x000D_
_x000D_
孙亚非，男，1977年 3月出生，时任董事会秘书/时任信息_x000D_
_x000D_
披露负责人。_x000D_
_x000D_
</t>
  </si>
  <si>
    <t xml:space="preserve">_x000D_
_x000D_
大连荣邦医疗卫生用品股份有限公司（以下简称挂牌公司），_x000D_
_x000D_
住所地：辽宁省大连市甘井子区大连湾镇毛茔子村。_x000D_
_x000D_
刘志刚，男，1964年 11月出生，时任董事长。_x000D_
_x000D_
刘月学，男，1972年 8月出生，时任董事会秘书/时任信息_x000D_
_x000D_
披露负责人。_x000D_
_x000D_
</t>
  </si>
  <si>
    <t xml:space="preserve">_x000D_
_x000D_
厦门羽星科技股份有限公司（以下简称挂牌公司），住所地：_x000D_
_x000D_
福建省厦门市湖里区安岭二路 90号。_x000D_
_x000D_
蒋明龙，男，1969年 7月出生，时任董事长。_x000D_
_x000D_
陈小波，男，1985年 9月出生，时任董事会秘书/时任信息_x000D_
_x000D_
披露负责人。_x000D_
_x000D_
</t>
  </si>
  <si>
    <t xml:space="preserve">_x000D_
_x000D_
江苏艾倍科科技股份有限公司（以下简称挂牌公司），住所_x000D_
_x000D_
地：江苏省南京市江北新区惠达路 6号北斗大厦 502。_x000D_
_x000D_
冯冠华，男，1974年 10月出生，时任董事长。_x000D_
_x000D_
李英奇，女，1976 年 10 月出生，时任董事会秘书/时任信_x000D_
_x000D_
息披露负责人。_x000D_
_x000D_
</t>
  </si>
  <si>
    <t xml:space="preserve">_x000D_
_x000D_
山东通用航空服务股份有限公司（以下简称挂牌公司），住_x000D_
_x000D_
所地：山东省济南市槐荫区齐州路 2477号 15层。_x000D_
_x000D_
凌庄怀，男，1969年 6月出生，时任董事长。_x000D_
_x000D_
吴德，男，1970年 3月出生，时任董事会秘书/时任信息披_x000D_
_x000D_
露负责人。_x000D_
_x000D_
</t>
  </si>
  <si>
    <t xml:space="preserve">_x000D_
_x000D_
芯联达信息科技(北京)股份有限公司（以下简称挂牌公司），_x000D_
_x000D_
住所地：北京市海淀区东北旺西路 8号中关村软件园 8号楼 119_x000D_
_x000D_
室。_x000D_
_x000D_
杨宏桥，男，1968年 3月出生，时任董事长。_x000D_
_x000D_
王贺然，男，1986 年 12 月出生，时任董事会秘书/时任信_x000D_
_x000D_
息披露负责人。_x000D_
_x000D_
</t>
  </si>
  <si>
    <t xml:space="preserve">_x000D_
_x000D_
河南黑蜘蛛电子商务股份有限公司（以下简称挂牌公司），_x000D_
_x000D_
住所地：河南省郑州市郑东新区商都路 166号 A、B塔楼 20层_x000D_
_x000D_
AB2001。_x000D_
_x000D_
聂卫献，男，1972年 11月出生，时任董事长。_x000D_
_x000D_
柴伯韬，男，1968 年 11 月出生，时任董事会秘书/时任信_x000D_
_x000D_
息披露负责人。_x000D_
_x000D_
</t>
  </si>
  <si>
    <t xml:space="preserve">_x000D_
_x000D_
甘肃丝路林牧生态科技股份有限公司（以下简称挂牌公司），_x000D_
_x000D_
住所地：甘肃省白银市景泰县红水镇清河村。_x000D_
_x000D_
卢宥名，男，1980年 11月出生，时任董事长。_x000D_
_x000D_
李得宝，男，1975 年 10 月出生，时任董事会秘书/时任信_x000D_
_x000D_
息披露负责人。_x000D_
_x000D_
</t>
  </si>
  <si>
    <t xml:space="preserve">_x000D_
_x000D_
吉林省金恒企业管理集团股份有限公司（以下简称挂牌公_x000D_
_x000D_
司），住所地：吉林省长春市南关区家苑路 399号鸿城街道办事_x000D_
_x000D_
处六层 601室。_x000D_
_x000D_
李淑娟，女，1971年 5月出生，时任董事长。_x000D_
_x000D_
丁浩，男，1978年 4月出生，时任董事会秘书/时任信息披_x000D_
_x000D_
露负责人。_x000D_
_x000D_
</t>
  </si>
  <si>
    <t xml:space="preserve">_x000D_
_x000D_
北京炬福文化股份有限公司（以下简称挂牌公司），住所地：_x000D_
_x000D_
北京市东城区安华北里 1号 1幢 4层 106-02号房。_x000D_
_x000D_
夏支龙，男，1969年 1月出生，时任董事长。_x000D_
_x000D_
吴望来，男，1980年 5月出生，时任董事会秘书/时任信息_x000D_
_x000D_
披露负责人。_x000D_
_x000D_
</t>
  </si>
  <si>
    <t xml:space="preserve">_x000D_
_x000D_
苏州长天互娱网络科技股份有限公司（以下简称挂牌公司），_x000D_
_x000D_
住所地：江苏省苏州市相城区太平街道聚金路98号8楼805室。_x000D_
_x000D_
王景艳，女，1967年 5月出生，时任董事长。_x000D_
_x000D_
刘壮，男，1990年 2月出生，时任董事会秘书/时任信息披_x000D_
_x000D_
露负责人。_x000D_
_x000D_
</t>
  </si>
  <si>
    <t xml:space="preserve">_x000D_
_x000D_
黑龙江龙云旅游管理股份有限公司（以下简称挂牌公司），_x000D_
_x000D_
住所地：黑龙江省大庆市让胡路区求实东路 48号。_x000D_
_x000D_
孟宪云，女，1971年 5月出生，时任董事长。_x000D_
_x000D_
闫显龙，男，1972年 1月出生，时任董事会秘书/时任信息_x000D_
_x000D_
披露负责人。_x000D_
_x000D_
</t>
  </si>
  <si>
    <t xml:space="preserve">_x000D_
_x000D_
吉林省广通有线网络股份有限公司（以下简称挂牌公司），_x000D_
_x000D_
住所地：吉林省长春市高新区硅谷大街 3333号长春科技大市场_x000D_
_x000D_
五层 5064室。_x000D_
_x000D_
孙海春，男，1978年 6月出生，时任董事会秘书/时任信息_x000D_
_x000D_
披露负责人。_x000D_
_x000D_
</t>
  </si>
  <si>
    <t xml:space="preserve">_x000D_
_x000D_
杭州和雷实业股份有限公司（以下简称挂牌公司），住所地：_x000D_
_x000D_
浙江省杭州市桐庐县桐君街道洋洲路 99号 2号厂房。_x000D_
_x000D_
吴秀宗，男，1968年 12月出生，时任董事长。_x000D_
_x000D_
雷文军，男，1970年 1月出生，时任董事会秘书/时任信息_x000D_
_x000D_
披露负责人。_x000D_
_x000D_
</t>
  </si>
  <si>
    <t xml:space="preserve">_x000D_
_x000D_
西安光谷防务技术股份有限公司（以下简称挂牌公司），住_x000D_
_x000D_
所地：陕西省西安市高新区草堂科技企业加速器秦岭大道西 2_x000D_
_x000D_
号 9号楼 30101号房。_x000D_
_x000D_
王军，男，1963年 3月出生，时任董事长。_x000D_
_x000D_
寇梦云，女，1976 年 10 月出生，时任董事会秘书/时任信_x000D_
_x000D_
息披露负责人。_x000D_
_x000D_
</t>
  </si>
  <si>
    <t xml:space="preserve">_x000D_
_x000D_
深圳华意隆电气股份有限公司（以下简称挂牌公司），住所_x000D_
_x000D_
地：广东省深圳市坪山区坑梓街道翠景路 43号。_x000D_
_x000D_
王来喜，男，1965年 6月出生，时任董事长。_x000D_
_x000D_
王蓉，女，1978年 7月出生，时任董事会秘书/时任信息披_x000D_
_x000D_
露负责人。_x000D_
_x000D_
</t>
  </si>
  <si>
    <t xml:space="preserve">_x000D_
_x000D_
安徽金瑞大药房连锁股份有限公司（以下简称挂牌公司），_x000D_
_x000D_
住所地：安徽省马鞍山市博望高新区新市工业园。_x000D_
_x000D_
易望波，男，1981年 1月出生，时任董事长。_x000D_
_x000D_
宋杰，男，1989年 1月出生，时任董事会秘书/时任信息披_x000D_
_x000D_
露负责人。_x000D_
_x000D_
</t>
  </si>
  <si>
    <t xml:space="preserve">_x000D_
_x000D_
江苏易电通智慧能源股份有限公司（以下简称挂牌公司），_x000D_
_x000D_
住所地：江苏省盐城市射阳县经济开发区阳光大道 88号。_x000D_
_x000D_
管林根，男，1971年 1月出生，时任董事长。_x000D_
_x000D_
周益，男，1987年 4月出生，时任董事会秘书/时任信息披_x000D_
_x000D_
露负责人。_x000D_
_x000D_
</t>
  </si>
  <si>
    <t xml:space="preserve">_x000D_
_x000D_
湖北任森农业科技发展股份有限公司（以下简称挂牌公司），_x000D_
_x000D_
住所地：湖北省宜昌市长阳土家族自治县长阳经济开发区长阳_x000D_
_x000D_
大道 689号。_x000D_
_x000D_
林也诗，男，1967年 6月出生，时任董事长。_x000D_
_x000D_
李明燕，女，1995年 4月出生，时任董事会秘书/时任信息_x000D_
_x000D_
披露负责人。_x000D_
_x000D_
</t>
  </si>
  <si>
    <t xml:space="preserve">_x000D_
_x000D_
上海之江生物科技股份有限公司（以下简称挂牌公司），住_x000D_
_x000D_
所地：上海市张江高科技产业东区瑞庆路 528号 20幢乙 1 层、_x000D_
_x000D_
21号甲幢 1层。_x000D_
_x000D_
邵俊斌，男，1971年 1月出生，时任董事长。_x000D_
_x000D_
倪卫琴，女，1981年 9月出生，时任董事会秘书/时任信息_x000D_
_x000D_
披露负责人。_x000D_
_x000D_
</t>
  </si>
  <si>
    <t xml:space="preserve">_x000D_
_x000D_
广东中星科技股份有限公司（以下简称挂牌公司），住所地：_x000D_
_x000D_
广东省韶关市武江区莞韶城黄沙坪创新园 9栋。_x000D_
_x000D_
张全章，男，1969年 12月出生，时任董事长。_x000D_
_x000D_
徐文祥，女，1974年 9月出生，时任董事会秘书/时任信息_x000D_
_x000D_
披露负责人。_x000D_
_x000D_
</t>
  </si>
  <si>
    <t xml:space="preserve">_x000D_
_x000D_
山西唐是文化创意股份有限公司（以下简称挂牌公司），住_x000D_
_x000D_
所地：山西省太原市迎泽区迎泽南街鼎元时代中心C座 1101号。_x000D_
_x000D_
白凤岗，男，1960年 4月出生，时任董事长。_x000D_
_x000D_
白易杭，女，1989 年 10 月出生，时任董事会秘书/时任信_x000D_
_x000D_
息披露负责人。_x000D_
_x000D_
</t>
  </si>
  <si>
    <t xml:space="preserve">_x000D_
_x000D_
东信智能科技股份有限公司（以下简称挂牌公司），住所地：_x000D_
_x000D_
广东省汕头市澄海区凤翔街道凤东路。_x000D_
_x000D_
吴少楷，男，1967年 3月出生，时任董事长。_x000D_
_x000D_
陈向群，男，1969年 8月出生，时任董事会秘书/时任信息_x000D_
_x000D_
披露负责人。_x000D_
_x000D_
</t>
  </si>
  <si>
    <t xml:space="preserve">_x000D_
_x000D_
广东天环创新科技股份有限公司（以下简称挂牌公司），住_x000D_
_x000D_
所地：广东省东莞市道滘镇小河工业区。_x000D_
_x000D_
梁荣基，男，1965年 4月出生，时任董事长。_x000D_
_x000D_
余增伟，男，1968年 7月出生，时任董事会秘书/时任信息_x000D_
_x000D_
披露负责人。_x000D_
_x000D_
</t>
  </si>
  <si>
    <t xml:space="preserve">_x000D_
_x000D_
广东晖速通信技术股份有限公司（以下简称挂牌公司），住_x000D_
_x000D_
所地：广东省东莞市东城区牛山外经工业园景观路主山工业区_x000D_
_x000D_
2号。_x000D_
_x000D_
陈晖，男，1972年 11月出生，时任董事长。_x000D_
_x000D_
邱乐辉，男，1974 年 12 月出生，时任董事会秘书/时任信_x000D_
_x000D_
息披露负责人。_x000D_
_x000D_
</t>
  </si>
  <si>
    <t xml:space="preserve">_x000D_
_x000D_
广东金源科技股份有限公司（以下简称挂牌公司），住所地：_x000D_
_x000D_
广东省汕头市台商投资区濠江片区台横三路。_x000D_
_x000D_
魏榕青，男，1963年 5月出生，时任董事长。_x000D_
_x000D_
曾少丽，女，1989年 2月出生，时任董事会秘书/时任信息_x000D_
_x000D_
披露负责人。_x000D_
_x000D_
</t>
  </si>
  <si>
    <t xml:space="preserve">_x000D_
_x000D_
广东任我通汽车云智能科技股份有限公司（以下简称挂牌_x000D_
_x000D_
公司），住所地：广东省佛山市顺德区杏坛镇齐杏社区居民委员_x000D_
_x000D_
会杏坛工业区科技区四路 1号之二。_x000D_
_x000D_
李文昶，男，1971年 7月出生，时任董事长。_x000D_
_x000D_
麦杏仪，女，1990年 3月出生，时任董事会秘书/时任信息_x000D_
_x000D_
披露负责人。_x000D_
_x000D_
</t>
  </si>
  <si>
    <t xml:space="preserve">_x000D_
_x000D_
广东唯诺冠动漫食品股份有限公司（以下简称挂牌公司），_x000D_
_x000D_
住所地：广东省汕头市龙湖区珠津工业区玉津中路 10号。_x000D_
_x000D_
翁盛平，男，1982年 8月出生，时任董事长。_x000D_
_x000D_
翁盛恒，男，1991年 3月出生，时任董事会秘书/时任信息_x000D_
_x000D_
披露负责人。_x000D_
_x000D_
</t>
  </si>
  <si>
    <t xml:space="preserve">_x000D_
_x000D_
广东长旺财务股份有限公司（以下简称挂牌公司），住所地：_x000D_
_x000D_
广东省汕头市金平区金砂路 86号友谊国际大厦公寓 2401号房。_x000D_
_x000D_
林勇彬，男，1983年 6月出生，时任董事长。_x000D_
_x000D_
林伟亮，男，1980年 7月出生，时任董事会秘书/时任信息_x000D_
_x000D_
披露负责人。_x000D_
_x000D_
</t>
  </si>
  <si>
    <t xml:space="preserve">_x000D_
_x000D_
上海希奥信息科技股份有限公司（以下简称挂牌公司），住_x000D_
_x000D_
所地：上海市虹口区四平路 228号 1202室。_x000D_
_x000D_
左德昌，男，1979年 10月出生，时任董事长。_x000D_
_x000D_
冯志民，男，1979年 7月出生，时任董事会秘书/时任信息_x000D_
_x000D_
披露负责人。_x000D_
_x000D_
</t>
  </si>
  <si>
    <t xml:space="preserve">_x000D_
_x000D_
广东永通起重机械股份有限公司（以下简称挂牌公司），住_x000D_
_x000D_
所地：广东省佛山市顺德区杏坛镇德品路 5号。_x000D_
_x000D_
叶宏洪，男，1965年 9月出生，时任董事长。_x000D_
_x000D_
胡艳红，男，1982年 6月出生，时任董事会秘书/时任信息_x000D_
_x000D_
披露负责人。_x000D_
_x000D_
</t>
  </si>
  <si>
    <t xml:space="preserve">_x000D_
_x000D_
江苏兴农环保科技股份有限公司（以下简称挂牌公司），住_x000D_
_x000D_
所地：江苏省海门市海门街道北海东路 179号。_x000D_
_x000D_
邱建兴，男，1965年 5月出生，时任董事长。_x000D_
_x000D_
朱建勤，男，1962 年 11 月出生，时任董事会秘书/时任信_x000D_
_x000D_
息披露负责人。_x000D_
_x000D_
</t>
  </si>
  <si>
    <t xml:space="preserve">_x000D_
_x000D_
苏州金品智慧机器人制造股份有限公司（以下简称挂牌公_x000D_
_x000D_
司），住所地：江苏省昆山市周市镇陆杨金茂路 1333 号 1 号房_x000D_
_x000D_
C区。_x000D_
_x000D_
成蜀元，男，1972年 5月出生，时任董事长。_x000D_
_x000D_
石生俊，男，1962年 5月出生，时任董事会秘书/时任信息_x000D_
_x000D_
披露负责人。_x000D_
_x000D_
</t>
  </si>
  <si>
    <t xml:space="preserve">_x000D_
_x000D_
昆山三景科技股份有限公司（以下简称挂牌公司），住所地：_x000D_
_x000D_
江苏省昆山市玉山镇瑞科路 158号。_x000D_
_x000D_
常唐银，男，1960年 4月出生，时任董事长。_x000D_
_x000D_
张王万，男，1953年 5月出生，时任董事会秘书/时任信息_x000D_
_x000D_
披露负责人。_x000D_
_x000D_
</t>
  </si>
  <si>
    <t xml:space="preserve">_x000D_
_x000D_
上海钢联物流股份有限公司（以下简称挂牌公司），住所地：_x000D_
_x000D_
上海市宝山区长江路 255号。_x000D_
_x000D_
杨刚，男，1972年 12月出生，时任董事长。_x000D_
_x000D_
张捍军，男，1971年 4月出生，时任董事会秘书/时任信息_x000D_
_x000D_
披露负责人。_x000D_
_x000D_
</t>
  </si>
  <si>
    <t xml:space="preserve">_x000D_
_x000D_
四川蓝源广告传媒股份有限公司（以下简称挂牌公司），住_x000D_
_x000D_
所地：四川省成都市锦江区红星中路 35号附 1号。_x000D_
_x000D_
余福康，男，1965年 11月出生，时任董事长。_x000D_
_x000D_
郭立君，女，1977年 7月出生，时任董事会秘书/时任信息_x000D_
_x000D_
披露负责人。_x000D_
_x000D_
</t>
  </si>
  <si>
    <t xml:space="preserve">_x000D_
_x000D_
苏州盈迪信康科技股份有限公司（以下简称挂牌公司），住_x000D_
_x000D_
所地：江苏省苏州市工业园区星湖街 218号 5幢生物纳米园 A7_x000D_
_x000D_
楼 403。_x000D_
_x000D_
吕莹，女，1973年 6月出生，时任董事长。_x000D_
_x000D_
</t>
  </si>
  <si>
    <t xml:space="preserve">_x000D_
_x000D_
苏州耐戈友防护用品股份有限公司（以下简称挂牌公司），_x000D_
_x000D_
住所地：江苏省苏州市吴中区横泾街道上新路 32号。_x000D_
_x000D_
魏娟，女，1980年 5月出生，时任董事长。_x000D_
_x000D_
乔静，女，1983年 5月出生，时任董事会秘书/时任信息披_x000D_
_x000D_
露负责人。_x000D_
_x000D_
</t>
  </si>
  <si>
    <t xml:space="preserve">_x000D_
_x000D_
胜利方兰德石油装备股份有限公司（以下简称挂牌公司），_x000D_
_x000D_
住所地：山东省东营市东营区烟台路 103工业园。_x000D_
_x000D_
李江波，男，1970年 1月出生，时任董事长。_x000D_
_x000D_
舒宁，男，1981 年 12 月出生，时任董事会秘书/时任信息_x000D_
_x000D_
披露负责人。_x000D_
_x000D_
</t>
  </si>
  <si>
    <t xml:space="preserve">_x000D_
_x000D_
江西源森油茶科技股份有限公司（以下简称挂牌公司），住_x000D_
_x000D_
所地：江西省德兴市银鹿工业园区。_x000D_
_x000D_
余良森，男，1965年 3月出生，时任董事长。_x000D_
_x000D_
潘日红，女，1977年 4月出生，时任董事会秘书/时任信息_x000D_
_x000D_
披露负责人。_x000D_
_x000D_
</t>
  </si>
  <si>
    <t xml:space="preserve">_x000D_
_x000D_
上海盛蒂斯自动化设备股份有限公司（以下简称挂牌公司），_x000D_
_x000D_
住所地：上海市松江区松闵路 258号 3幢 1-6层。_x000D_
_x000D_
樊利平，男，1973年 11月出生，时任董事长。_x000D_
_x000D_
李秀芳，女，1973年 7月出生，时任董事会秘书/时任信息_x000D_
_x000D_
披露负责人。_x000D_
_x000D_
</t>
  </si>
  <si>
    <t xml:space="preserve">_x000D_
_x000D_
江苏神农灭菌设备股份有限公司（以下简称挂牌公司），住_x000D_
_x000D_
所地：江苏省张家港市金港镇封庄村。_x000D_
_x000D_
陈远华，男，1969年 9月出生，时任董事长。_x000D_
_x000D_
蒋忠伟，男，1980 年 11 月出生，时任董事会秘书/时任信_x000D_
_x000D_
息披露负责人。_x000D_
_x000D_
</t>
  </si>
  <si>
    <t xml:space="preserve">_x000D_
_x000D_
丽水兴昌新材料科技股份有限公司（以下简称挂牌公司），_x000D_
_x000D_
住所地：浙江省丽水市遂昌县云峰街道毛田工业园区。_x000D_
_x000D_
詹延林，男，1965年 7月出生，时任董事长。_x000D_
_x000D_
王卓，女，1992年 9月出生，时任董事会秘书/时任信息披_x000D_
_x000D_
露负责人。_x000D_
_x000D_
</t>
  </si>
  <si>
    <t xml:space="preserve">_x000D_
_x000D_
南通元方缘智造工程股份有限公司（以下简称挂牌公司），_x000D_
_x000D_
住所地：江苏省南通市海安县城东镇海防路 18号。_x000D_
_x000D_
仲海泉，男，1970年 10月出生，时任董事长。_x000D_
_x000D_
周梅，女，1994年 4月出生，时任董事会秘书/时任信息披_x000D_
_x000D_
露负责人。_x000D_
_x000D_
</t>
  </si>
  <si>
    <t xml:space="preserve">_x000D_
_x000D_
雨来智能科技服务（苏州）股份有限公司（以下简称挂牌公_x000D_
_x000D_
司），住所地：江苏省苏州市工业园区星湖街 218号生物纳米园_x000D_
_x000D_
A4楼 502室。_x000D_
_x000D_
周辛怡，男，1968年 11月出生，时任董事长。_x000D_
_x000D_
王淑洁，女，1957年 8月出生，时任董事会秘书/时任信息_x000D_
_x000D_
披露负责人。_x000D_
_x000D_
</t>
  </si>
  <si>
    <t xml:space="preserve">_x000D_
_x000D_
辽宁达荣科技股份有限公司（以下简称挂牌公司），住所地：_x000D_
_x000D_
辽宁省丹东市边境经济合作区滨江中路 104-4号。_x000D_
_x000D_
李延军，男，1964年 11月出生，时任董事长。_x000D_
_x000D_
张欣，女，1979年 8月出生，时任董事会秘书/时任信息披_x000D_
_x000D_
露负责人。_x000D_
_x000D_
</t>
  </si>
  <si>
    <t xml:space="preserve">_x000D_
_x000D_
南京金榜麒麟家居股份有限公司（以下简称挂牌公司），住_x000D_
_x000D_
所地：江苏省南京高新开发区 028幢 625室。_x000D_
_x000D_
陈映，女，1981年 11月出生，时任董事长。_x000D_
_x000D_
周淦庆，男，1977年 7月出生，时任董事会秘书/时任信息_x000D_
_x000D_
披露负责人。_x000D_
_x000D_
</t>
  </si>
  <si>
    <t xml:space="preserve">_x000D_
_x000D_
北京九方天和新能源技术股份有限公司（以下简称挂牌公_x000D_
_x000D_
司），住所地：北京市海淀区八里庄路 62号院 1号楼 1911。_x000D_
_x000D_
陈晴，男，1974年 5月出生，时任董事长。_x000D_
_x000D_
牛芬芬，女，1989年 7月出生，时任董事会秘书/时任信息_x000D_
_x000D_
披露负责人。_x000D_
_x000D_
</t>
  </si>
  <si>
    <t xml:space="preserve">_x000D_
_x000D_
广东军大生物科技股份有限公司（以下简称挂牌公司），住_x000D_
_x000D_
所地：广州白云区云景路云嘉街 4号 313房。_x000D_
_x000D_
黄志强，男，1962年 11月出生，时任董事长。_x000D_
_x000D_
陈伟芬，女，1979年 1月出生，时任董事会秘书/时任信息_x000D_
_x000D_
披露负责人。_x000D_
_x000D_
</t>
  </si>
  <si>
    <t xml:space="preserve">_x000D_
_x000D_
广州曦望文化传播股份有限公司（以下简称挂牌公司），住_x000D_
_x000D_
所地：广州市海珠区工业大道北路 67号 20号楼 106室。_x000D_
_x000D_
钟梦俐，女，1985年 8月出生，时任董事长。_x000D_
_x000D_
周曼影，女，1979 年 10 月出生，时任董事会秘书/时任信_x000D_
_x000D_
息披露负责人。_x000D_
_x000D_
</t>
  </si>
  <si>
    <t xml:space="preserve">_x000D_
_x000D_
杭州天行建筑装饰股份有限公司（以下简称挂牌公司），住_x000D_
_x000D_
所地：浙江省杭州市西湖区三墩镇古墩路 656号 323室。_x000D_
_x000D_
蔡格炜，男，1972年 9月出生，时任董事长。_x000D_
_x000D_
邢建平，女，1976年 8月出生，时任董事会秘书/时任信息_x000D_
_x000D_
披露负责人。_x000D_
_x000D_
</t>
  </si>
  <si>
    <t xml:space="preserve">_x000D_
_x000D_
杭州中广物业管理服务股份有限公司（以下简称挂牌公司），_x000D_
_x000D_
住所地：浙江省杭州市萧山区宁围街道泰宏巷 28号联合中心南_x000D_
_x000D_
区 2幢 402室。_x000D_
_x000D_
胡强，男，1974年 3月出生，时任董事长。_x000D_
_x000D_
程洪，男，1971 年 12 月出生，时任董事会秘书/时任信息_x000D_
_x000D_
披露负责人。_x000D_
_x000D_
</t>
  </si>
  <si>
    <t xml:space="preserve">_x000D_
_x000D_
浙江华尔达热导技术股份有限公司（以下简称挂牌公司），_x000D_
_x000D_
住所地：浙江省瑞安市经济开发区华尔达工业园。_x000D_
_x000D_
陈智，男，1962年 11月出生，时任董事长。_x000D_
_x000D_
陈坚明，男，1980年 2月出生，时任董事会秘书/时任信息_x000D_
_x000D_
披露负责人。_x000D_
_x000D_
</t>
  </si>
  <si>
    <t xml:space="preserve">_x000D_
_x000D_
浙江华辰新材股份有限公司（以下简称挂牌公司），住所地：_x000D_
_x000D_
浙江省杭州市余杭区运河街道庙河路 93号 1-5幢。_x000D_
_x000D_
孙月华，女，1968年 8月出生，时任董事长。_x000D_
_x000D_
吴艳君，男，1972年 3月出生，时任董事会秘书/时任信息_x000D_
_x000D_
披露负责人。_x000D_
_x000D_
</t>
  </si>
  <si>
    <t xml:space="preserve">_x000D_
_x000D_
江苏优生活传媒科技股份有限公司（以下简称挂牌公司），_x000D_
_x000D_
住所地：江苏省昆山市巴城镇学院路 828号 1号房 11层。_x000D_
_x000D_
袁华翔，男，1978年 8月出生，时任董事长。_x000D_
_x000D_
查树军，男，1987 年 11 月出生，时任董事会秘书/时任信_x000D_
_x000D_
息披露负责人。_x000D_
_x000D_
</t>
  </si>
  <si>
    <t xml:space="preserve">_x000D_
_x000D_
浙江弛达信息科技股份有限公司（以下简称挂牌公司），住_x000D_
_x000D_
所地：浙江省杭州市滨江区滨安路 1180 号 1 幢 1 号楼第 5 层_x000D_
_x000D_
501-510。_x000D_
_x000D_
张弛，男，1969年 3月出生，时任董事长。_x000D_
_x000D_
徐赟，女，1985 年 11 月出生，时任董事会秘书/时任信息_x000D_
_x000D_
披露负责人。_x000D_
_x000D_
</t>
  </si>
  <si>
    <t xml:space="preserve">_x000D_
_x000D_
深圳海斯迪能源科技股份有限公司（以下简称挂牌公司），_x000D_
_x000D_
住所地：深圳市宝安区福海街道桥头社区立新路 2 号天佑创客_x000D_
_x000D_
产业园 F1-309。_x000D_
_x000D_
刘养弟，男，1971年 5月出生，时任董事长。_x000D_
_x000D_
</t>
  </si>
  <si>
    <t xml:space="preserve">_x000D_
_x000D_
深圳市康普斯节能科技股份有限公司（以下简称挂牌公司），_x000D_
_x000D_
住所地：深圳市宝安区沙井街道后亭茅洲山工业园全至科技创_x000D_
_x000D_
新园贰号楼 3层 Q、3层 R。_x000D_
_x000D_
杨石林，男，1978年 1月出生，时任董事长。_x000D_
_x000D_
刘爱娥，女，1979年 8月出生，时任董事会秘书/时任信息_x000D_
_x000D_
披露负责人。_x000D_
_x000D_
</t>
  </si>
  <si>
    <t xml:space="preserve">_x000D_
_x000D_
宁波爱珂智能科技股份有限公司（以下简称挂牌公司），住_x000D_
_x000D_
所地：浙江省宁波高新区剑兰路 399号。_x000D_
_x000D_
傅劲崴，男，1986年 10月出生，时任董事长。_x000D_
_x000D_
李艳微，女，1975年 7月出生，时任董事会秘书/时任信息_x000D_
_x000D_
披露负责人。_x000D_
_x000D_
</t>
  </si>
  <si>
    <t xml:space="preserve">_x000D_
_x000D_
南京北斗城际在线信息股份有限公司（以下简称挂牌公司），_x000D_
_x000D_
住所地：江苏省南京市高新区惠达路 6号北斗大厦 14楼。_x000D_
_x000D_
李建平，男，1953年 6月出生，时任董事长。_x000D_
_x000D_
朱江煜，男，1979 年 11 月出生，时任董事会秘书/时任信_x000D_
_x000D_
息披露负责人。_x000D_
_x000D_
</t>
  </si>
  <si>
    <t xml:space="preserve">_x000D_
_x000D_
天津圣目信息安全技术股份有限公司（以下简称挂牌公司），_x000D_
_x000D_
住所地：天津市和平区拉萨道 16 号和平区电子商务大厦 8 层。_x000D_
_x000D_
张惠军，男，1969年 11月出生，时任董事长。_x000D_
_x000D_
吴顺禧，女，1979 年 12 月出生，时任董事会秘书/时任信_x000D_
_x000D_
息披露负责人。_x000D_
_x000D_
</t>
  </si>
  <si>
    <t xml:space="preserve">_x000D_
_x000D_
山东华煜盛园农业发展股份有限公司（以下简称挂牌公司），_x000D_
_x000D_
住所地：山东省淄博市张店区南定镇亿达路 1号（镇政府南侧）。_x000D_
_x000D_
鲁华，女，1968年 4月出生，时任董事长。_x000D_
_x000D_
银丽辉，女，1971年 4月出生，时任董事会秘书/时任信息_x000D_
_x000D_
披露负责人。_x000D_
_x000D_
</t>
  </si>
  <si>
    <t xml:space="preserve">_x000D_
_x000D_
杭州洁诺清洁用品股份有限公司（以下简称挂牌公司），住_x000D_
_x000D_
所地：浙江省杭州市萧山经济技术开发区桥南区块鸿兴路 181_x000D_
_x000D_
号。_x000D_
_x000D_
黄叶会，男，1978年 2月出生，时任董事长。_x000D_
_x000D_
许成林，男，1991年 9月出生，时任董事会秘书/时任信息_x000D_
_x000D_
披露负责人。_x000D_
_x000D_
</t>
  </si>
  <si>
    <t xml:space="preserve">_x000D_
_x000D_
湖南联盛网络科技股份有限公司（以下简称挂牌公司），住_x000D_
_x000D_
所地：湖南省长沙市雨花区曙光中路长房天翼未来城 1 栋 201_x000D_
_x000D_
房。_x000D_
_x000D_
邓俊西，女，1972年 4月出生，时任董事长。_x000D_
_x000D_
冉升，男，1983年 8月出生，时任董事会秘书/时任信息披_x000D_
_x000D_
露负责人。_x000D_
_x000D_
</t>
  </si>
  <si>
    <t xml:space="preserve">_x000D_
_x000D_
无锡亚夫农业科技股份有限公司（以下简称挂牌公司），住_x000D_
_x000D_
所地：江苏省无锡市新区鸿山街道锡协路 208-1号。_x000D_
_x000D_
郝晓海，男，1979年 9月出生，时任董事长。_x000D_
_x000D_
胡灵灵，女，1993年 5月出生，时任董事会秘书/时任信息_x000D_
_x000D_
披露负责人。_x000D_
_x000D_
</t>
  </si>
  <si>
    <t xml:space="preserve">_x000D_
_x000D_
河南腾飞高分子复合材料股份有限公司（以下简称挂牌公_x000D_
_x000D_
司），住所地：河南省郑州市高新技术产业开发区西三环路 289_x000D_
_x000D_
号河南省国家大雪科技园（东区）1号楼 7单元 3层。_x000D_
_x000D_
王春玲，女，1967年 5月出生，时任董事长。_x000D_
_x000D_
姚翠萍，女，1982年 8月出生，时任董事会秘书/时任信息_x000D_
_x000D_
披露负责人。_x000D_
_x000D_
</t>
  </si>
  <si>
    <t xml:space="preserve">_x000D_
_x000D_
烟台天圣科技股份有限公司（以下简称挂牌公司），住所地：_x000D_
_x000D_
山东省烟台市莱山经济开发区同和路 9号。_x000D_
_x000D_
侯作启，男，1953年 1月出生，时任董事长。_x000D_
_x000D_
彭咏梅，女，1971年 7月出生，时任董事会秘书/时任信息_x000D_
_x000D_
披露负责人。_x000D_
_x000D_
</t>
  </si>
  <si>
    <t xml:space="preserve">_x000D_
_x000D_
上海大满文化创意股份有限公司（以下简称挂牌公司），住_x000D_
_x000D_
所地：上海市嘉定区江桥镇华江支路 189号 4幢 1层 01室。_x000D_
_x000D_
孙濛，女，1976年 12月出生，时任董事长。_x000D_
_x000D_
徐超，男，1981 年 12 月出生，时任董事会秘书/时任信息_x000D_
_x000D_
披露负责人。_x000D_
_x000D_
</t>
  </si>
  <si>
    <t xml:space="preserve">_x000D_
_x000D_
浙江龙文精密设备股份有限公司（以下简称挂牌公司），住_x000D_
_x000D_
所地：浙江省舟山市定海区盐仓街道新螺头（舟山经济开发区_x000D_
_x000D_
临港区块）。_x000D_
_x000D_
翁兆丰，男，1961年 11月出生，时任董事长。_x000D_
_x000D_
刘浩力，男，1983 年 10 月出生，时任董事会秘书/时任信_x000D_
_x000D_
息披露负责人。_x000D_
_x000D_
</t>
  </si>
  <si>
    <t xml:space="preserve">_x000D_
_x000D_
星光珠宝集团股份有限公司（以下简称挂牌公司），住所地：_x000D_
_x000D_
安徽省合肥市包河区滨湖世纪城临滨苑写字楼 B座 36层。_x000D_
_x000D_
周天杰，男，1965年 5月出生，时任董事长。_x000D_
_x000D_
黄舒，女，1976 年 12 月出生，时任董事会秘书/时任信息_x000D_
_x000D_
披露负责人。_x000D_
_x000D_
</t>
  </si>
  <si>
    <t xml:space="preserve">_x000D_
_x000D_
廊坊市北方嘉科印务股份有限公司（以下简称挂牌公司），_x000D_
_x000D_
住所地：河北省廊坊市开发区金源道。_x000D_
_x000D_
董丽丽，女，1964年 12月出生，时任董事长。_x000D_
_x000D_
何雅春，女，1973年 2月出生，时任董事会秘书/时任信息_x000D_
_x000D_
披露负责人。_x000D_
_x000D_
</t>
  </si>
  <si>
    <t xml:space="preserve">_x000D_
_x000D_
武汉众联信息技术股份有限公司（以下简称挂牌公司），住_x000D_
_x000D_
所地：湖北省武汉市汉阳区古琴台龟山北路 1 号汉阳造广告创_x000D_
_x000D_
意园 9号楼 2楼 1户。_x000D_
_x000D_
严俊，男，1982年 8月出生，时任董事长。_x000D_
_x000D_
唐元恺，女，1977 年 10 月出生，时任董事会秘书/时任信_x000D_
_x000D_
息披露负责人。_x000D_
_x000D_
</t>
  </si>
  <si>
    <t xml:space="preserve">_x000D_
_x000D_
江苏正佰电气股份有限公司（以下简称挂牌公司），住所地：_x000D_
_x000D_
江苏省昆山市玉山镇高新区寰庆路 2967号。_x000D_
_x000D_
吕勇，女，1973年 2月出生，时任董事长。_x000D_
_x000D_
邓学军，男，1970年 2月出生，时任董事会秘书/时任信息_x000D_
_x000D_
披露负责人。_x000D_
_x000D_
</t>
  </si>
  <si>
    <t xml:space="preserve">_x000D_
_x000D_
成都搜搜电子商务股份有限公司（以下简称挂牌公司），住_x000D_
_x000D_
所地：成都市青羊区广富路 8号 10幢 4层 402号。_x000D_
_x000D_
谭杰，男，1971年 7月出生，时任董事长。_x000D_
_x000D_
王玲玲，女，1990年 1月出生，时任董事会秘书/时任信息_x000D_
_x000D_
披露负责人。_x000D_
_x000D_
</t>
  </si>
  <si>
    <t xml:space="preserve">_x000D_
_x000D_
灵智自控（广州）股份有限公司（以下简称挂牌公司），住_x000D_
_x000D_
所地：广东省广州市天河区天河科技园软件园高唐新建区高普_x000D_
_x000D_
路 1025号第 5层。_x000D_
_x000D_
许少波，男，1965年 8月出生，时任董事长。_x000D_
_x000D_
秦培中，男，1974年 4月出生，时任董事会秘书/时任信息_x000D_
_x000D_
披露负责人。_x000D_
_x000D_
</t>
  </si>
  <si>
    <t xml:space="preserve">_x000D_
_x000D_
深圳市创想天空科技股份有限公司（以下简称挂牌公司），_x000D_
_x000D_
住所地：广东省深圳市福田区天安数码城天吉大厦场 CD座 312_x000D_
_x000D_
室。_x000D_
_x000D_
陈丽娜，女，1981年 6月出生，时任董事长。_x000D_
_x000D_
封林毅，男，1978年 2月出生，时任董事会秘书/时任信息_x000D_
_x000D_
披露负责人。_x000D_
_x000D_
</t>
  </si>
  <si>
    <t xml:space="preserve">_x000D_
_x000D_
西安华新新能源股份有限公司（以下简称挂牌公司），住所_x000D_
_x000D_
地：陕西省西安市临潼区新丰工业园。_x000D_
_x000D_
汪冀华，男，1966年 3月出生，时任董事长。_x000D_
_x000D_
汪博勋，男，1992年 3月出生，时任董事会秘书/时任信息_x000D_
_x000D_
披露负责人。_x000D_
_x000D_
</t>
  </si>
  <si>
    <t xml:space="preserve">_x000D_
_x000D_
河南浏发健康管理股份有限公司（以下简称挂牌公司），住_x000D_
_x000D_
所地：河南省郑州市金水区徐庄东路 97号牛顿国际 B座 3楼。_x000D_
_x000D_
郎国梁，男，1990年 10月出生，时任董事长。_x000D_
_x000D_
孙甲，男，1987年 9月出生，时任董事会秘书/时任信息披_x000D_
_x000D_
露负责人。_x000D_
_x000D_
</t>
  </si>
  <si>
    <t xml:space="preserve">_x000D_
_x000D_
山东同创汽车散热装置股份有限公司（以下简称挂牌公司），_x000D_
_x000D_
住所地：山东省泰安市山东磁窑经济技术开发区。_x000D_
_x000D_
冯振山，男，1964年 10月出生，时任董事长。_x000D_
_x000D_
武强，男，1979 年 12 月出生，时任董事会秘书/时任信息_x000D_
_x000D_
披露负责人。_x000D_
_x000D_
</t>
  </si>
  <si>
    <t xml:space="preserve">_x000D_
_x000D_
陕西中商矿业股份有限公司（以下简称挂牌公司），住所地：_x000D_
_x000D_
陕西省西安市国际港务区港务大道 6号陆港大厦 1107室。_x000D_
_x000D_
张英才，男，1969年 8月出生，时任董事长。_x000D_
_x000D_
白磊，男，1988 年 12 月出生，时任董事会秘书/时任信息_x000D_
_x000D_
披露负责人。_x000D_
_x000D_
</t>
  </si>
  <si>
    <t xml:space="preserve">_x000D_
_x000D_
广西中新正大国际旅游股份有限公司（以下简称挂牌公司），_x000D_
_x000D_
住所地：广西壮族自治区柳州市三江县古宜镇侗乡大道 98号三_x000D_
_x000D_
源小区 D区 1栋二层。_x000D_
_x000D_
黎晓辉，男，1967年 9月出生，时任董事长。_x000D_
_x000D_
刘汉春，男，1972年 8月出生，时任董事会秘书/时任信息_x000D_
_x000D_
披露负责人。_x000D_
_x000D_
</t>
  </si>
  <si>
    <t xml:space="preserve">_x000D_
_x000D_
广西钦州润港林业股份有限公司（以下简称挂牌公司），住_x000D_
_x000D_
所地：广西壮族自治区钦州市永福东大街中地滨江小区 2 号楼_x000D_
_x000D_
302。_x000D_
_x000D_
张凯平，男，1960年 12月出生，时任董事长。_x000D_
_x000D_
殷姿，女，1980年 9月出生，时任董事会秘书/时任信息披_x000D_
_x000D_
露负责人。_x000D_
_x000D_
</t>
  </si>
  <si>
    <t xml:space="preserve">_x000D_
_x000D_
深圳市跨境翼电子商务股份有限公司（以下简称挂牌公司），_x000D_
_x000D_
住所地：深圳市南山区西丽街道创盛路 1 号康和盛大楼新能源_x000D_
_x000D_
创新产业园 5楼 501。_x000D_
_x000D_
李君，男，1983年 5月出生，时任董事长。_x000D_
_x000D_
陶和平，男，1982年 5月出生，时任董事会秘书/时任信息_x000D_
_x000D_
披露负责人。_x000D_
_x000D_
</t>
  </si>
  <si>
    <t xml:space="preserve">_x000D_
_x000D_
北京蓝天瑞德环保技术股份有限公司（以下简称挂牌公司），_x000D_
_x000D_
住所地：北京市石景山区鲁谷路 35号冠辉国际大厦 11层。_x000D_
_x000D_
李幂，男，1973年 11月出生，时任董事长。_x000D_
_x000D_
韩黎新，男，1993 年 11 月出生，时任董事会秘书/时任信_x000D_
_x000D_
息披露负责人。_x000D_
_x000D_
</t>
  </si>
  <si>
    <t xml:space="preserve">_x000D_
_x000D_
江苏宝达汽车股份有限公司（以下简称挂牌公司），住所地：_x000D_
_x000D_
江苏省吴江市松陵镇开发区庞北路东侧。_x000D_
_x000D_
沈胜利，男，1953年 10月出生，时任董事长。_x000D_
_x000D_
吕彩平，女，1967年 6月出生，时任董事会秘书/时任信息_x000D_
_x000D_
披露负责人。_x000D_
_x000D_
</t>
  </si>
  <si>
    <t xml:space="preserve">_x000D_
_x000D_
宝鸡市晨光真空电器股份有限公司（以下简称挂牌公司），_x000D_
_x000D_
住所地：陕西省宝鸡市高新开发区兴科路 49号。_x000D_
_x000D_
寇峰，男，1971年 7月出生，时任董事长。_x000D_
_x000D_
赵姣，女，1990年 6月出生，时任董事会秘书/时任信息披_x000D_
_x000D_
露负责人。_x000D_
_x000D_
</t>
  </si>
  <si>
    <t xml:space="preserve">_x000D_
_x000D_
穆力赛（上海）新材料科技股份有限公司（以下简称挂牌公_x000D_
_x000D_
司），住所地：上海市嘉定区银翔路 655号 805室。_x000D_
_x000D_
黄立彬，男，1970年 7月出生，时任董事长。_x000D_
_x000D_
万春，男，1971年 7月出生，时任董事会秘书/时任信息披_x000D_
_x000D_
露负责人。_x000D_
_x000D_
</t>
  </si>
  <si>
    <t xml:space="preserve">_x000D_
_x000D_
北京普达财务顾问股份有限公司（以下简称挂牌公司），住_x000D_
_x000D_
所地：北京市朝阳区酒仙桥路 14号 53幢 5层 508室。_x000D_
_x000D_
李巍，男，1981年 8月出生，时任董事长。_x000D_
_x000D_
张艳欣，女，1984年 7月出生，时任董事会秘书/时任信息_x000D_
_x000D_
披露负责人。_x000D_
_x000D_
</t>
  </si>
  <si>
    <t xml:space="preserve">_x000D_
_x000D_
北京金云彩科技发展股份有限公司（以下简称挂牌公司），_x000D_
_x000D_
住所地：北京市顺义区赵全营镇兆丰产业基地园盈路 7号。_x000D_
_x000D_
王辉，男，1988年 4月出生，时任董事长。_x000D_
_x000D_
</t>
  </si>
  <si>
    <t xml:space="preserve">_x000D_
_x000D_
广州国游网络科技股份有限公司（以下简称挂牌公司），住_x000D_
_x000D_
所地：广东省广州市天河区珠江西路 15号 1701/1708。_x000D_
_x000D_
孟峰，男，1972年 7月出生，时任董事长。_x000D_
_x000D_
李扬，男，1978年 3月出生，时任董事会秘书/时任信息披_x000D_
_x000D_
露负责人。_x000D_
_x000D_
</t>
  </si>
  <si>
    <t xml:space="preserve">_x000D_
_x000D_
鸿鑫互联科技（北京）股份有限公司（以下简称挂牌公司），_x000D_
_x000D_
住所地：北京市通州区张家湾镇通州工业开发区光华路 16号 A_x000D_
_x000D_
栋 A223。_x000D_
_x000D_
李毅，男，1973年 2月出生，时任董事长。_x000D_
_x000D_
李文勇，男，1989年 6月出生，时任董事会秘书/时任信息_x000D_
_x000D_
披露负责人。_x000D_
_x000D_
</t>
  </si>
  <si>
    <t xml:space="preserve">_x000D_
_x000D_
亚泰都会（北京）城市规划建筑园林设计研究院股份有限公_x000D_
_x000D_
司（以下简称挂牌公司），住所地：北京市朝阳区酒仙桥路甲 4_x000D_
_x000D_
号 3号楼 1101室、1104-A室。_x000D_
_x000D_
王军，男，1969年 3月出生，时任董事长。_x000D_
_x000D_
崔立东，男，1974年 5月出生，时任董事会秘书/时任信息_x000D_
_x000D_
披露负责人。_x000D_
_x000D_
</t>
  </si>
  <si>
    <t xml:space="preserve">_x000D_
_x000D_
北京天润康隆科技股份有限公司（以下简称挂牌公司），住_x000D_
_x000D_
所地：北京市海淀区丰慧中路 7号新材料创业大厦 B座 709。_x000D_
_x000D_
苗永康，男，1963年 9月出生，时任董事长。_x000D_
_x000D_
姚剑，男，1988 年 11 月出生，时任董事会秘书/时任信息_x000D_
_x000D_
披露负责人。_x000D_
_x000D_
</t>
  </si>
  <si>
    <t xml:space="preserve">_x000D_
_x000D_
北京时尚百联科技股份有限公司（以下简称挂牌公司），住_x000D_
_x000D_
所地：北京市石景山区鲁谷路 74号北院 9号楼。_x000D_
_x000D_
李振文，男，1973年 4月出生，时任董事长。_x000D_
_x000D_
王坤，男，1994年 2月出生，时任董事会秘书/时任信息披_x000D_
_x000D_
露负责人。_x000D_
_x000D_
</t>
  </si>
  <si>
    <t xml:space="preserve">_x000D_
_x000D_
深圳市金开利科技股份有限公司（以下简称挂牌公司），住_x000D_
_x000D_
所地：深圳市龙华新区大浪街道浪口社区华韵路 301 号中源工_x000D_
_x000D_
业园 C栋 4楼 405号。_x000D_
_x000D_
徐伟，男，1969年 9月出生，时任董事长。_x000D_
_x000D_
王益群，男，1976年 2月出生，时任董事会秘书/时任信息_x000D_
_x000D_
披露负责人。_x000D_
_x000D_
</t>
  </si>
  <si>
    <t xml:space="preserve">_x000D_
_x000D_
常州大洋线缆股份有限公司（以下简称挂牌公司），住所地：_x000D_
_x000D_
江苏省常州市天宁区三丰路 5号。_x000D_
_x000D_
金伟勇，男，1965年 3月出生，时任董事长。_x000D_
_x000D_
吴盛，男，1977年 2月出生，时任董事会秘书/时任信息披_x000D_
_x000D_
露负责人。_x000D_
_x000D_
</t>
  </si>
  <si>
    <t xml:space="preserve">_x000D_
_x000D_
北京厚德汽车租赁股份有限公司（以下简称挂牌公司），住_x000D_
_x000D_
所地：北京市石景山区杨庄大街 2 号禹午京涛阁商务会馆 3 层_x000D_
_x000D_
301室。_x000D_
_x000D_
潘学深，男，1975年 8月出生，时任董事长。_x000D_
_x000D_
黄小冰，女，1987 年 12 月出生，时任董事会秘书/时任信_x000D_
_x000D_
息披露负责人。_x000D_
_x000D_
</t>
  </si>
  <si>
    <t xml:space="preserve">_x000D_
_x000D_
内蒙古民大商贸股份有限公司（以下简称挂牌公司），住所_x000D_
_x000D_
地：内蒙古自治区通辽市科尔沁区育新镇西艾力村。_x000D_
_x000D_
李庚琴，女，1969年 1月出生，时任董事长。_x000D_
_x000D_
杜志鹏，男，1991 年 10 月出生，时任董事会秘书/时任信_x000D_
_x000D_
息披露负责人。_x000D_
_x000D_
</t>
  </si>
  <si>
    <t xml:space="preserve">_x000D_
_x000D_
新疆金润枣业股份有限公司（以下简称挂牌公司），住所地：_x000D_
_x000D_
新疆维吾尔自治区吐鲁番市托克逊县光明路胜利巷麻黄素厂后_x000D_
_x000D_
面。_x000D_
_x000D_
李吉生，男，1970年 7月出生，时任董事长。_x000D_
_x000D_
杜晓东，男，1969年 5月出生，时任董事会秘书/时任信息_x000D_
_x000D_
披露负责人。_x000D_
_x000D_
</t>
  </si>
  <si>
    <t xml:space="preserve">_x000D_
_x000D_
翱华工程技术股份有限公司（以下简称挂牌公司），住所地：_x000D_
_x000D_
内蒙古自治区呼和浩特市赛罕区学府花园路学府花园小区综合_x000D_
_x000D_
楼四-五层。_x000D_
_x000D_
刘虎，男，1963年 10月出生，时任董事长。_x000D_
_x000D_
宋皓，男，1981年 6月出生，时任董事会秘书/时任信息披_x000D_
_x000D_
露负责人。_x000D_
_x000D_
</t>
  </si>
  <si>
    <t xml:space="preserve">_x000D_
_x000D_
广之益农业股份有限公司（以下简称挂牌公司），住所地：_x000D_
_x000D_
湖南省常德市西洞庭管理区祝丰镇育才居委会广益西路 22 号。_x000D_
_x000D_
陈湘益，男，1964年 12月出生，时任董事长。_x000D_
_x000D_
王文英，女，1976年 4月出生，时任董事会秘书/时任信息_x000D_
_x000D_
披露负责人。_x000D_
_x000D_
</t>
  </si>
  <si>
    <t xml:space="preserve">_x000D_
_x000D_
江阴天力重科安装股份有限公司（以下简称挂牌公司），住_x000D_
_x000D_
所地：江苏省江阴市云亭街道小吴巷路 12-9号。_x000D_
_x000D_
钱君，男，1972年 9月出生，时任董事长。_x000D_
_x000D_
范洁清，女，1984年 4月出生，时任董事会秘书/时任信息_x000D_
_x000D_
披露负责人。_x000D_
_x000D_
</t>
  </si>
  <si>
    <t xml:space="preserve">_x000D_
_x000D_
山东弘峰智能装备股份有限公司（以下简称挂牌公司），住_x000D_
_x000D_
所地：山东省济南市历城区华信路 3 号鑫苑鑫中心 7 号楼历城_x000D_
_x000D_
金融大厦 1309室。_x000D_
_x000D_
张盈，女，1991年 10月出生，时任董事长。_x000D_
_x000D_
郗玉堂，男，1959 年 10 月出生，时任董事会秘书/时任信_x000D_
_x000D_
息披露负责人。_x000D_
_x000D_
</t>
  </si>
  <si>
    <t xml:space="preserve">_x000D_
_x000D_
北京中邮展鸿通信设备股份有限公司（以下简称挂牌公司），_x000D_
_x000D_
住所地：北京市海淀区永泰园新地标 16号楼 708室。_x000D_
_x000D_
张银周，男，1975年 5月出生，时任董事长。_x000D_
_x000D_
张梅，女，1973年 9月出生，时任董事会秘书/时任信息披_x000D_
_x000D_
露负责人。_x000D_
_x000D_
</t>
  </si>
  <si>
    <t xml:space="preserve">_x000D_
_x000D_
北京智信恒瑞科技股份有限公司（以下简称挂牌公司），住_x000D_
_x000D_
所地：北京市西城区西直门外大街甲 143号 1-4-2064。_x000D_
_x000D_
罗琪，女，1984年 9月出生，时任董事长。_x000D_
_x000D_
范延磊，男，1986年 4月出生，时任董事会秘书/时任信息_x000D_
_x000D_
披露负责人。_x000D_
_x000D_
</t>
  </si>
  <si>
    <t xml:space="preserve">_x000D_
_x000D_
深圳金创供应链股份有限公司（以下简称挂牌公司），住所_x000D_
_x000D_
地：深圳市南山区粤海街道科技中三路与深南路交汇处海王银_x000D_
_x000D_
河科技大厦第 7层 703B。_x000D_
_x000D_
刘殊玲，女，1963年 3月出生，时任董事长。_x000D_
_x000D_
于宜清，女，1989年 5月出生，时任董事会秘书/时任信息_x000D_
_x000D_
披露负责人。_x000D_
_x000D_
</t>
  </si>
  <si>
    <t xml:space="preserve">_x000D_
_x000D_
北京金泽环境能源技术研究股份有限公司（以下简称挂牌_x000D_
_x000D_
公司），住所地：北京市朝阳区将台路 5 号院 5 号楼二层 2117_x000D_
_x000D_
号。_x000D_
_x000D_
张国宇，男，1978年 7月出生，时任董事长。_x000D_
_x000D_
许鹏元，男，1976年 2月出生，时任董事会秘书/时任信息_x000D_
_x000D_
披露负责人。_x000D_
_x000D_
</t>
  </si>
  <si>
    <t xml:space="preserve">_x000D_
_x000D_
湖北骐通智能科技股份有限公司（以下简称挂牌公司），住_x000D_
_x000D_
所地：湖北省十堰市东城经济开发区东环路 109号。_x000D_
_x000D_
赵双庆，男，1981年 5月出生，时任董事长。_x000D_
_x000D_
肖涛，男，1972年 5月出生，时任董事会秘书/时任信息披_x000D_
_x000D_
露负责人。_x000D_
_x000D_
</t>
  </si>
  <si>
    <t xml:space="preserve">_x000D_
_x000D_
上海漫界文化传播股份有限公司（以下简称挂牌公司），住_x000D_
_x000D_
所地：上海市宝山区上大路 668号 226C室。_x000D_
_x000D_
金跃春，男，1960年 3月出生，时任董事会秘书/时任信息_x000D_
_x000D_
披露负责人。_x000D_
_x000D_
</t>
  </si>
  <si>
    <t xml:space="preserve">_x000D_
_x000D_
上海恒道国际物流股份有限公司（以下简称挂牌公司），住_x000D_
_x000D_
所地：上海市宝山区双城路 803弄 11号 1601室-3。_x000D_
_x000D_
卜杰林，男，1980年 4月出生，时任董事长。_x000D_
_x000D_
左华丽，女，1982 年 10 月出生，时任董事会秘书/时任信_x000D_
_x000D_
息披露负责人。_x000D_
_x000D_
</t>
  </si>
  <si>
    <t xml:space="preserve">_x000D_
_x000D_
四川恒力通农牧科技股份有限公司（以下简称挂牌公司），_x000D_
_x000D_
住所地：四川省绵阳市游仙路 278号。_x000D_
_x000D_
何虎，男，1964年 9月出生，时任董事长。_x000D_
_x000D_
何恺，男，1989年 8月出生，时任董事会秘书/时任信息披_x000D_
_x000D_
露负责人。_x000D_
_x000D_
</t>
  </si>
  <si>
    <t xml:space="preserve">_x000D_
_x000D_
新疆多浪牧业股份有限公司（以下简称挂牌公司），住所地：_x000D_
_x000D_
新疆维吾尔自治区阿克苏地区阿克苏纺织工业城外环路西侧。_x000D_
_x000D_
艾合买提·吾买尔，男，1964年 12月出生，时任董事长。_x000D_
_x000D_
茹可亚·哈力木拉提，女，1981年 2月出生，时任董事会_x000D_
_x000D_
秘书/时任信息披露负责人。_x000D_
_x000D_
</t>
  </si>
  <si>
    <t xml:space="preserve">_x000D_
_x000D_
广东天富电气股份有限公司（以下简称挂牌公司），住所地：_x000D_
_x000D_
广东省中山市火炬开发区环茂二路 9号。_x000D_
_x000D_
郭振清，男，1962年 4月出生，时任董事长。_x000D_
_x000D_
郭丽珍，女，1982年 3月出生，时任董事会秘书/时任信息_x000D_
_x000D_
披露负责人。_x000D_
_x000D_
</t>
  </si>
  <si>
    <t xml:space="preserve">_x000D_
_x000D_
安徽广美药业股份有限公司（以下简称挂牌公司），住所地：_x000D_
_x000D_
安徽省亳州经济开发区牡丹路 907号。_x000D_
_x000D_
王运久，男，1971年 4月出生，时任董事长。_x000D_
_x000D_
熊凯，男，1978年 2月出生，时任董事会秘书/时任信息披_x000D_
_x000D_
露负责人。_x000D_
_x000D_
</t>
  </si>
  <si>
    <t xml:space="preserve">_x000D_
_x000D_
南京中创水务集团股份有限公司（以下简称挂牌公司），住_x000D_
_x000D_
所地：江苏省南京市玄武区珠江路 185号 306室。_x000D_
_x000D_
陈宽友，男，1965年 6月出生，时任董事长。_x000D_
_x000D_
刘连杰，男，1983 年 12 月出生，时任董事会秘书/时任信_x000D_
_x000D_
息披露负责人。_x000D_
_x000D_
</t>
  </si>
  <si>
    <t xml:space="preserve">_x000D_
_x000D_
北京永捷发科技股份有限公司（以下简称挂牌公司），住所_x000D_
_x000D_
地：北京市北京经济技术开发区经海五路 58号院 7 号楼 6层。_x000D_
_x000D_
魏勇，男，1978年 9月出生，时任董事长。_x000D_
_x000D_
孙丽，女，1984年 8月出生，时任董事会秘书/时任信息披_x000D_
_x000D_
露负责人。_x000D_
_x000D_
</t>
  </si>
  <si>
    <t xml:space="preserve">_x000D_
_x000D_
北京汇新恒信能源科技股份有限公司（以下简称挂牌公司），_x000D_
_x000D_
住所地：北京市朝阳区高碑店新村北里 84号。_x000D_
_x000D_
梁栢强，男，1975年 6月出生，时任董事长。_x000D_
_x000D_
朱岩，女，1983年 8月出生，时任董事会秘书/时任信息披_x000D_
_x000D_
露负责人。_x000D_
_x000D_
</t>
  </si>
  <si>
    <t xml:space="preserve">_x000D_
_x000D_
宁夏赛文技术股份有限公司（以下简称挂牌公司），住所地：_x000D_
_x000D_
宁夏回族自治区银川市金凤区宝湖中路 402 号天嘉公司办公楼_x000D_
_x000D_
1-2层。_x000D_
_x000D_
鲁万鑫，男，1974年 1月出生，时任董事长。_x000D_
_x000D_
马国卿，男，1985年 7月出生，时任董事会秘书/时任信息_x000D_
_x000D_
披露负责人。_x000D_
_x000D_
</t>
  </si>
  <si>
    <t xml:space="preserve">_x000D_
_x000D_
灏景(厦门)文化传媒股份有限公司（以下简称挂牌公司），_x000D_
_x000D_
住所地：福建省厦门市思明区莲前街道台东路 155 号 502 室之_x000D_
_x000D_
二。_x000D_
_x000D_
林成场，男，1975年 9月出生，时任董事长。_x000D_
_x000D_
郭彩霞，女，1990年 5月出生，时任董事会秘书/时任信息_x000D_
_x000D_
披露负责人。_x000D_
_x000D_
</t>
  </si>
  <si>
    <t xml:space="preserve">_x000D_
_x000D_
吉林永丰食品股份有限公司（以下简称挂牌公司），住所地：_x000D_
_x000D_
吉林省蛟河市河北街道长白山大街 568 号(办公楼)1 层(1-2)门。_x000D_
_x000D_
冯长友，男，1960年 3月出生，时任董事长。_x000D_
_x000D_
肖永强，男，1968年 8月出生，时任董事会秘书/时任信息_x000D_
_x000D_
披露负责人。_x000D_
_x000D_
</t>
  </si>
  <si>
    <t xml:space="preserve">_x000D_
_x000D_
新疆科神农业装备科技开发股份有限公司（以下简称挂牌_x000D_
_x000D_
公司），住所地：新疆石河子市北泉镇北泉路 380号。_x000D_
_x000D_
李海山，男，1979年 11月出生，时任董事长。_x000D_
_x000D_
黄春燕，女，1978年 2月出生，时任董事会秘书/时任信息_x000D_
_x000D_
披露负责人。_x000D_
_x000D_
</t>
  </si>
  <si>
    <t xml:space="preserve">_x000D_
_x000D_
虎符智能科技股份有限公司（以下简称挂牌公司），住所地：_x000D_
_x000D_
上海市徐汇区钦州路 100号 1号楼 810室。_x000D_
_x000D_
赵巍，男，1977年 4月出生，时任董事长。_x000D_
_x000D_
蒋娜，女，1986年 2月出生，时任董事会秘书/时任信息披_x000D_
_x000D_
露负责人。_x000D_
_x000D_
</t>
  </si>
  <si>
    <t xml:space="preserve">_x000D_
_x000D_
杭州三叶新材料股份有限公司（以下简称挂牌公司），住所_x000D_
_x000D_
地：杭州市拱墅区祥园路 30号 12幢 703室。_x000D_
_x000D_
叶焙，男，1960年 3月出生，时任董事长。_x000D_
_x000D_
胡欣华，女，1974年 2月出生，时任董事会秘书/时任信息_x000D_
_x000D_
披露负责人。_x000D_
_x000D_
</t>
  </si>
  <si>
    <t xml:space="preserve">_x000D_
_x000D_
山东春鹏彩虹智能电气股份公司（以下简称挂牌公司），住_x000D_
_x000D_
所地：山东省济南市临港经济开发区温泉西路中段。_x000D_
_x000D_
段宗鹏，男，1959年 7月出生，时任董事长。_x000D_
_x000D_
段东超，男，1986年 6月出生，时任董事会秘书/时任信息_x000D_
_x000D_
披露负责人。_x000D_
_x000D_
</t>
  </si>
  <si>
    <t xml:space="preserve">_x000D_
_x000D_
湖北金科环保科技股份有限公司（以下简称挂牌公司），住_x000D_
_x000D_
所地：湖北省荆州市东方大道 69号。_x000D_
_x000D_
代友炼，男，1956年 7月出生，时任董事长。_x000D_
_x000D_
刘俊波，男，1972 年 10 月出生，时任董事会秘书/时任信_x000D_
_x000D_
息披露负责人。_x000D_
_x000D_
</t>
  </si>
  <si>
    <t xml:space="preserve">_x000D_
_x000D_
江西省广蓝传动科技股份有限公司（以下简称挂牌公司），_x000D_
_x000D_
住所地：江西省赣州市兴国经济开发区新区。_x000D_
_x000D_
李金平，男，1975年 7月出生，时任董事长。_x000D_
_x000D_
温九梅，女，1985 年 10 月出生，时任董事会秘书/时任信_x000D_
_x000D_
息披露负责人。_x000D_
_x000D_
</t>
  </si>
  <si>
    <t xml:space="preserve">_x000D_
_x000D_
上海迅傲信息科技股份有限公司（以下简称挂牌公司），住_x000D_
_x000D_
所地：上海市青浦区外青松公路 7548弄 588号 1号楼 274室。_x000D_
_x000D_
孙尤杰，男，1982年 9月出生，时任董事长。_x000D_
_x000D_
姚艳晖，男，1990 年 11 月出生，时任董事会秘书/时任信_x000D_
_x000D_
息披露负责人。_x000D_
_x000D_
</t>
  </si>
  <si>
    <t xml:space="preserve">_x000D_
_x000D_
深圳市雅诺科技股份有限公司（以下简称挂牌公司），住所_x000D_
_x000D_
地：深圳市龙岗区横岗街道四联社区 228工业区 48号 4A厂房_x000D_
_x000D_
1-3楼。_x000D_
_x000D_
陈添德，男，1973年 11月出生，时任董事长。_x000D_
_x000D_
周小明，男，1975年 8月出生，时任董事会秘书/时任信息_x000D_
_x000D_
披露负责人。_x000D_
_x000D_
</t>
  </si>
  <si>
    <t xml:space="preserve">_x000D_
_x000D_
北京艾美迪科技股份有限公司（以下简称挂牌公司），住所_x000D_
_x000D_
地：北京市东城区藏经馆胡同 17号 1幢 2223室。_x000D_
_x000D_
王霁，男，1967年 12月出生，时任董事长。_x000D_
_x000D_
石牧楠，男，1985 年 10 月出生，时任董事会秘书/时任信_x000D_
_x000D_
息披露负责人。_x000D_
_x000D_
</t>
  </si>
  <si>
    <t xml:space="preserve">_x000D_
_x000D_
新疆同德能源股份有限公司（以下简称挂牌公司），住所地：_x000D_
_x000D_
新疆维吾尔自治区乌鲁木齐市新市区河南东路 38号天和·新城_x000D_
_x000D_
市广场 B座 9楼。_x000D_
_x000D_
张健，男，1971年 8月出生，时任董事长。_x000D_
_x000D_
李军锋，男，1984 年 12 月出生，时任董事会秘书/时任信_x000D_
_x000D_
息披露负责人。_x000D_
_x000D_
</t>
  </si>
  <si>
    <t xml:space="preserve">_x000D_
_x000D_
深圳市和西智能装备股份有限公司（以下简称挂牌公司），_x000D_
_x000D_
住所地：深圳市宝安区沙井街道步涌同富裕 A-2工业区 A区第_x000D_
_x000D_
四栋。_x000D_
_x000D_
翟祥善，男，1971年 6月出生，时任董事长。_x000D_
_x000D_
程琴，女，1987年 1月出生，时任董事会秘书/时任信息披_x000D_
_x000D_
露负责人。_x000D_
_x000D_
</t>
  </si>
  <si>
    <t xml:space="preserve">_x000D_
_x000D_
北京爱乐祺文化发展股份有限公司（以下简称挂牌公司），_x000D_
_x000D_
住所地：北京市东城区广渠门内大街 45 号雍贵中心 D 座 301。_x000D_
_x000D_
陈靖，女，1982年 11月出生，时任董事长。_x000D_
_x000D_
张丽，女，1971 年 10 月出生，时任董事会秘书/时任信息_x000D_
_x000D_
披露负责人。_x000D_
_x000D_
</t>
  </si>
  <si>
    <t xml:space="preserve">_x000D_
_x000D_
江苏苏美材料股份有限公司（以下简称挂牌公司），住所地：_x000D_
_x000D_
江苏省宿迁市宿城经济开发区南片区南二路 8号。_x000D_
_x000D_
冷志顺，男，1963年 1月出生，时任董事长。_x000D_
_x000D_
周永富，男，1974年 8月出生，时任董事会秘书/时任信息_x000D_
_x000D_
披露负责人。_x000D_
_x000D_
</t>
  </si>
  <si>
    <t xml:space="preserve">_x000D_
_x000D_
北京中鼎恒信科技股份有限公司（以下简称挂牌公司），住_x000D_
_x000D_
所地：北京市顺义区赵全营镇兆丰产业基地园盈路 7号。_x000D_
_x000D_
王刚，男，1983年 12月出生，时任董事长。_x000D_
_x000D_
欧淑玲，女，1962年 8月出生，时任董事会秘书/时任信息_x000D_
_x000D_
披露负责人。_x000D_
_x000D_
</t>
  </si>
  <si>
    <t xml:space="preserve">_x000D_
_x000D_
内蒙古皓腾牧业科技股份有限公司（以下简称挂牌公司），_x000D_
_x000D_
住所地：内蒙古自治区锡林浩特市鼎盛新天地 4楼东。_x000D_
_x000D_
马永强，男，1971年 5月出生，时任董事长。_x000D_
_x000D_
刘建民，男，1961 年 11 月出生，时任董事会秘书/时任信_x000D_
_x000D_
息披露负责人。_x000D_
_x000D_
</t>
  </si>
  <si>
    <t xml:space="preserve">_x000D_
_x000D_
合德堂控股(深圳)股份有限公司（以下简称挂牌公司），住_x000D_
_x000D_
所地：广东省深圳市福田区泰然九路盛唐商务大厦西座 1505-_x000D_
_x000D_
1506。_x000D_
_x000D_
朱飞，男，1983年 10月出生，时任董事长。_x000D_
_x000D_
罗明华，男，1982年 9月出生，时任董事会秘书/时任信息_x000D_
_x000D_
披露负责人。_x000D_
_x000D_
</t>
  </si>
  <si>
    <t xml:space="preserve">_x000D_
_x000D_
湖南银丰园林股份有限公司（以下简称挂牌公司），住所地：_x000D_
_x000D_
湖南省益阳市赫山区龙洲北路欣天花园 9栋 702室。_x000D_
_x000D_
杨众举，男，1986年 10月出生，时任董事长。_x000D_
_x000D_
曾彬，男，1983年 4月出生，时任董事会秘书/时任信息披_x000D_
_x000D_
露负责人。_x000D_
_x000D_
</t>
  </si>
  <si>
    <t xml:space="preserve">_x000D_
_x000D_
凯兰德运动科技股份有限公司（以下简称挂牌公司），住所_x000D_
_x000D_
地：天津市津南经济开发区（东区）中平道 16号。_x000D_
_x000D_
李峙，女，1970年 10月出生，时任董事长。_x000D_
_x000D_
王杰，女，1973 年 10 月出生，时任董事会秘书/时任信息_x000D_
_x000D_
披露负责人。_x000D_
_x000D_
</t>
  </si>
  <si>
    <t xml:space="preserve">_x000D_
_x000D_
山东朵云清农业股份有限公司（以下简称挂牌公司），住所_x000D_
_x000D_
地：山东省济宁市嘉祥县嘉祥镇兖兰中路 56号。_x000D_
_x000D_
王进，男，1969年 4月出生，时任董事长。_x000D_
_x000D_
王震，男，1989 年 12 月出生，时任董事会秘书/时任信息_x000D_
_x000D_
披露负责人。_x000D_
_x000D_
</t>
  </si>
  <si>
    <t xml:space="preserve">_x000D_
_x000D_
广东宏伟泰精工实业股份有限公司（以下简称挂牌公司），_x000D_
_x000D_
住所地：广东省东莞市长安镇新安社区增田村横中路 5号。_x000D_
_x000D_
朱革飞，男，1967年 1月出生，时任董事长。_x000D_
_x000D_
夏必杰，男，1985年 3月出生，时任董事会秘书/时任信息_x000D_
_x000D_
披露负责人。_x000D_
_x000D_
</t>
  </si>
  <si>
    <t xml:space="preserve">_x000D_
_x000D_
江西蓝谷新能源科技股份有限公司（以下简称挂牌公司），_x000D_
_x000D_
住所地：江西省瑞昌市码头镇金城路。_x000D_
_x000D_
饶辉，男，1975年 10月出生，时任董事长。_x000D_
_x000D_
曾烽，男，1968 年 10 月出生，时任董事会秘书/时任信息_x000D_
_x000D_
披露负责人。_x000D_
_x000D_
</t>
  </si>
  <si>
    <t xml:space="preserve">_x000D_
_x000D_
浙江安生信息科技股份有限公司（以下简称挂牌公司），住_x000D_
_x000D_
所地：浙江省宁波市高新区创苑路 750号 C座 1楼。_x000D_
_x000D_
翁清棉，男，1974年 4月出生，时任董事长。_x000D_
_x000D_
章剑亮，男，1969 年 12 月出生，时任董事会秘书/时任信_x000D_
_x000D_
息披露负责人。_x000D_
_x000D_
</t>
  </si>
  <si>
    <t xml:space="preserve">_x000D_
_x000D_
无锡美好世界科技股份有限公司（以下简称挂牌公司），住_x000D_
_x000D_
所地：江苏省江阴市云亭街道沈巷路 7号。_x000D_
_x000D_
万敏，女，1980年 12月出生，时任董事长。_x000D_
_x000D_
刘丽芳，女，1985 年 11 月出生，时任董事会秘书/时任信_x000D_
_x000D_
息披露负责人。_x000D_
_x000D_
</t>
  </si>
  <si>
    <t xml:space="preserve">_x000D_
_x000D_
陕西迅腾通信科技股份有限公司（以下简称挂牌公司），住_x000D_
_x000D_
所地：陕西省西安市国家民用航天产业基地东长安街 501 号 B_x000D_
_x000D_
座 6楼。_x000D_
_x000D_
闵振明，男，1976年 8月出生，时任董事长。_x000D_
_x000D_
孔旭波，男，1976年 1月出生，时任董事会秘书/时任信息_x000D_
_x000D_
披露负责人。_x000D_
_x000D_
</t>
  </si>
  <si>
    <t xml:space="preserve">_x000D_
_x000D_
爱科凯能科技（北京）股份有限公司（以下简称挂牌公司），_x000D_
_x000D_
住所地：北京市朝阳区酒仙桥东路 1号院 8号楼 5层 503室。_x000D_
_x000D_
孙云龙，男，1943年 12月出生，时任董事长。_x000D_
_x000D_
范家伟，男，1982 年 11 月出生，时任董事会秘书/时任信_x000D_
_x000D_
息披露负责人。_x000D_
_x000D_
</t>
  </si>
  <si>
    <t xml:space="preserve">_x000D_
_x000D_
江苏博强新能源科技股份有限公司（以下简称挂牌公司），_x000D_
_x000D_
住所地：江苏省张家港市锦丰镇江苏扬子江国际冶金工业园(郁_x000D_
_x000D_
桥村 25幢)。_x000D_
_x000D_
韩竞科，男，1974年 11月出生，时任董事长。_x000D_
_x000D_
熊险峰，男，1971年 8月出生，时任董事会秘书/时任信息_x000D_
_x000D_
披露负责人。_x000D_
_x000D_
</t>
  </si>
  <si>
    <t xml:space="preserve">_x000D_
_x000D_
福鼎白茶股份有限公司（以下简称挂牌公司），住所地：福_x000D_
_x000D_
建省福鼎市岙里工业园区 B栋二层。_x000D_
_x000D_
朱丽燕，女，1975年 1月出生，时任董事长。_x000D_
_x000D_
王志明，男，1982年 3月出生，时任董事会秘书/时任信息_x000D_
_x000D_
披露负责人。_x000D_
_x000D_
</t>
  </si>
  <si>
    <t xml:space="preserve">_x000D_
_x000D_
安徽宇宁果胶股份有限公司（以下简称挂牌公司），住所地：_x000D_
_x000D_
安徽省宿州市砀山县关帝庙镇北一公里（101省道路西）。_x000D_
_x000D_
刘革兰，女，1976年 3月出生，时任董事长。_x000D_
_x000D_
黄任知，男，1976年 4月出生，时任董事会秘书/时任信息_x000D_
_x000D_
披露负责人。_x000D_
_x000D_
</t>
  </si>
  <si>
    <t xml:space="preserve">_x000D_
_x000D_
北京赛欧必弗科技股份有限公司（以下简称挂牌公司），住_x000D_
_x000D_
所地：北京市海淀区西小口路 66号中关村东升科技园 B-6号楼_x000D_
_x000D_
C座十层 C1001室。_x000D_
_x000D_
赵兵，男，1970年 11月出生，时任董事长。_x000D_
_x000D_
崔彩虹，女，1991年 8月出生，时任董事会秘书/时任信息_x000D_
_x000D_
披露负责人。_x000D_
_x000D_
</t>
  </si>
  <si>
    <t xml:space="preserve">_x000D_
_x000D_
通化盛吉信生物科技股份有限公司（以下简称挂牌公司），_x000D_
_x000D_
住所地：吉林省通化市东昌区金厂镇锦程街 258号。_x000D_
_x000D_
刘峰，男，1979年 6月出生，时任董事长。_x000D_
_x000D_
于振林，男，1963年 9月出生，时任董事会秘书/时任信息_x000D_
_x000D_
披露负责人。_x000D_
_x000D_
</t>
  </si>
  <si>
    <t xml:space="preserve">_x000D_
_x000D_
江苏辰华能源股份有限公司（以下简称挂牌公司），住所地：_x000D_
_x000D_
上海市闵行区虹桥阿里中心 T2座 503室。_x000D_
_x000D_
李振，男，1984年 8月出生，时任董事长。_x000D_
_x000D_
隋奕，男，1984年 1月出生，时任董事会秘书/时任信息披_x000D_
_x000D_
露负责人。_x000D_
_x000D_
</t>
  </si>
  <si>
    <t xml:space="preserve">_x000D_
_x000D_
镇江裕久智能装备股份有限公司（以下简称挂牌公司），住_x000D_
_x000D_
所地：江苏省镇江市新区大港五峰山路 19号。_x000D_
_x000D_
肖双喜，女，1976年 7月出生，时任董事长。_x000D_
_x000D_
徐丹，女，1981年 8月出生，时任董事会秘书/时任信息披_x000D_
_x000D_
露负责人。_x000D_
_x000D_
</t>
  </si>
  <si>
    <t xml:space="preserve">_x000D_
_x000D_
四川议中新材料股份有限公司（以下简称挂牌公司），住所_x000D_
_x000D_
地：四川省泸州市合江县榕山镇联榕坝村 5社。_x000D_
_x000D_
张建军，男，1971年 11月出生，时任董事长。_x000D_
_x000D_
戴伟，男，1981 年 10 月出生，时任董事会秘书/时任信息_x000D_
_x000D_
披露负责人。_x000D_
_x000D_
</t>
  </si>
  <si>
    <t xml:space="preserve">_x000D_
_x000D_
天津星路文化传播股份有限公司（以下简称挂牌公司），住_x000D_
_x000D_
所地：天津市河西区洞庭路 24号(her power创业基地内)。_x000D_
_x000D_
郭星路，男，1981年 12月出生，时任董事长。_x000D_
_x000D_
蒋丽，女，1988年 8月出生，时任董事会秘书/时任信息披_x000D_
_x000D_
露负责人。_x000D_
_x000D_
</t>
  </si>
  <si>
    <t xml:space="preserve">_x000D_
_x000D_
上海易可文化发展股份有限公司（以下简称挂牌公司），住_x000D_
_x000D_
所地：上海市嘉定区菊园新区菊城路 28号 2幢 2层 A区。_x000D_
_x000D_
陈吉玉，男，1963年 1月出生，时任董事长。_x000D_
_x000D_
金逸鑫，男，1990 年 10 月出生，时任董事会秘书/时任信_x000D_
_x000D_
息披露负责人。_x000D_
_x000D_
</t>
  </si>
  <si>
    <t xml:space="preserve">_x000D_
_x000D_
北京方胜有成科技股份有限公司（以下简称挂牌公司），住_x000D_
_x000D_
所地：北京市海淀区东北旺西路 8号中关村软件园 8号楼 213。_x000D_
_x000D_
孟宪成，男，1972年 10月出生，时任董事长。_x000D_
_x000D_
单宝霞，女，1990年 9月出生，时任董事会秘书/时任信息_x000D_
_x000D_
披露负责人。_x000D_
_x000D_
</t>
  </si>
  <si>
    <t xml:space="preserve">_x000D_
_x000D_
上海嘉妮诗化妆品股份有限公司（以下简称挂牌公司），住_x000D_
_x000D_
所地：上海市松江区文翔东路 58号 10幢 2楼。_x000D_
_x000D_
张凯，男，1971年 5月出生，时任董事长。_x000D_
_x000D_
王雪英，女，1981年 1月出生，时任董事会秘书/时任信息_x000D_
_x000D_
披露负责人。_x000D_
_x000D_
</t>
  </si>
  <si>
    <t xml:space="preserve">_x000D_
_x000D_
江苏艾萨克机器人股份有限公司（以下简称挂牌公司），住_x000D_
_x000D_
所地：江苏省扬州市邗江区扬子江中路 186号智谷科技。_x000D_
_x000D_
王斌，男，1977年 8月出生，时任董事长。_x000D_
_x000D_
王汉进，男，1979 年 12 月出生，时任董事会秘书/时任信_x000D_
_x000D_
息披露负责人。_x000D_
_x000D_
</t>
  </si>
  <si>
    <t xml:space="preserve">_x000D_
_x000D_
北京观天执行科技股份有限公司（以下简称挂牌公司），住_x000D_
_x000D_
所地：北京市海淀区宝盛里小区 19号楼 315号。_x000D_
_x000D_
沈冰，女，1974年 11月出生，时任董事长。_x000D_
_x000D_
初虹，男，1966年 4月出生，时任董事会秘书/时任信息披_x000D_
_x000D_
露负责人。_x000D_
_x000D_
</t>
  </si>
  <si>
    <t xml:space="preserve">_x000D_
_x000D_
重庆亚信医疗管理股份有限公司（以下简称挂牌公司），住_x000D_
_x000D_
所地：重庆市巴南区云锦路 1号 12-1。_x000D_
_x000D_
李龙吉，男，1979年 4月出生，时任董事长。_x000D_
_x000D_
秦毅，男，1989年 5月出生，时任董事会秘书/时任信息披_x000D_
_x000D_
露负责人。_x000D_
_x000D_
</t>
  </si>
  <si>
    <t xml:space="preserve">_x000D_
_x000D_
江苏徐耐新材料科技股份有限公司（以下简称挂牌公司），_x000D_
_x000D_
住所地：江苏省徐州市贾汪区贾汪镇泉东村 206国道东侧。_x000D_
_x000D_
彭广成，男，1966年 5月出生，时任董事长。_x000D_
_x000D_
孙飞，男，1981年 8月出生，时任董事会秘书/时任信息披_x000D_
_x000D_
露负责人。_x000D_
_x000D_
</t>
  </si>
  <si>
    <t xml:space="preserve">_x000D_
_x000D_
重庆祥龙电气股份有限公司（以下简称挂牌公司），住所地：_x000D_
_x000D_
重庆市铜梁区蒲吕镇龙山大道 23号。_x000D_
_x000D_
蒋章听，男，1961年 6月出生，时任董事长。_x000D_
_x000D_
王俊，男，1982年 4月出生，时任董事会秘书/时任信息披_x000D_
_x000D_
露负责人。_x000D_
_x000D_
</t>
  </si>
  <si>
    <t xml:space="preserve">_x000D_
_x000D_
如皋市鼎浩液压机械股份有限公司（以下简称挂牌公司），_x000D_
_x000D_
住所地：江苏省南通市如皋市城北街道仁寿西路 188号。_x000D_
_x000D_
方晶，女，1981年 10月出生，时任董事长。_x000D_
_x000D_
唐晶，女，1985年 4月出生，时任董事会秘书/时任信息披_x000D_
_x000D_
露负责人。_x000D_
_x000D_
</t>
  </si>
  <si>
    <t xml:space="preserve">_x000D_
_x000D_
广东麒麒文化传播股份有限公司（以下简称挂牌公司），住_x000D_
_x000D_
所地：广东省广州市越秀区庙前西街 48号自编 1号 317房。_x000D_
_x000D_
罗敏滋，女，1973年 5月出生，时任董事长。_x000D_
_x000D_
程红，女，1987年 3月出生，时任董事会秘书/时任信息披_x000D_
_x000D_
露负责人。_x000D_
_x000D_
</t>
  </si>
  <si>
    <t xml:space="preserve">_x000D_
_x000D_
北京飞尼课斯科技股份有限公司（以下简称挂牌公司），住_x000D_
_x000D_
所地：北京市怀柔区杨宋镇凤翔大街 12号。_x000D_
_x000D_
郭忠录，男，1954年 3月出生，时任董事长。_x000D_
_x000D_
彭斌，男，1969年 9月出生，时任董事会秘书/时任信息披_x000D_
_x000D_
露负责人。_x000D_
_x000D_
</t>
  </si>
  <si>
    <t xml:space="preserve">_x000D_
_x000D_
江苏奇智奇才在线教育股份有限公司（以下简称挂牌公司），_x000D_
_x000D_
住所地：江苏省南京市江北新区星火路 9号软件大厦B座 2楼。_x000D_
_x000D_
施信福，男，1964年 4月出生，时任董事长。_x000D_
_x000D_
王在伟，男，1982年 5月出生，时任董事会秘书/时任信息_x000D_
_x000D_
披露负责人。_x000D_
_x000D_
</t>
  </si>
  <si>
    <t xml:space="preserve">_x000D_
_x000D_
北京威达宇电软件股份有限公司（以下简称挂牌公司），住_x000D_
_x000D_
所地：北京市海淀区上地东路 35号院 1号楼 2层 1-219-225。_x000D_
_x000D_
常永朝，男，1986年 12月出生，时任董事长。_x000D_
_x000D_
</t>
  </si>
  <si>
    <t xml:space="preserve">_x000D_
_x000D_
深圳市齐普光电子股份有限公司（以下简称挂牌公司），住_x000D_
_x000D_
所地：深圳市宝安区石岩街道塘头社区宝石路宝石科技园 C栋。_x000D_
_x000D_
吴小刚，男，1971年 7月出生，时任董事长。_x000D_
_x000D_
李岳敏，女，1971 年 10 月出生，时任董事会秘书/时任信_x000D_
_x000D_
息披露负责人。_x000D_
_x000D_
</t>
  </si>
  <si>
    <t xml:space="preserve">_x000D_
_x000D_
浙江益立胶囊股份有限公司（以下简称挂牌公司），住所地：_x000D_
_x000D_
浙江省绍兴市新昌县儒岙镇横渡桥。_x000D_
_x000D_
朱军伟，男，1975年 11月出生，时任董事长。_x000D_
_x000D_
潘银奇，男，1975年 7月出生，时任董事会秘书/时任信息_x000D_
_x000D_
披露负责人。_x000D_
_x000D_
</t>
  </si>
  <si>
    <t xml:space="preserve">_x000D_
_x000D_
深圳万方网络股份有限公司（以下简称挂牌公司），住所地：_x000D_
_x000D_
深圳市宝安区新安街道大浪社区新安三路 2号海关大厦 A栋南_x000D_
_x000D_
头海关 1009。_x000D_
_x000D_
李健文，男，1971年 8月出生，时任董事长。_x000D_
_x000D_
樊荣，女，1984年 2月出生，时任董事会秘书/时任信息披_x000D_
_x000D_
露负责人。_x000D_
_x000D_
</t>
  </si>
  <si>
    <t xml:space="preserve">_x000D_
_x000D_
烟台市中贝志宇能源科技股份有限公司（以下简称挂牌公_x000D_
_x000D_
司），住所地：山东省烟台市福山区回里镇西黄村。_x000D_
_x000D_
孙为民，男，1973年 1月出生，时任董事长。_x000D_
_x000D_
李霞，女，1987年 8月出生，时任董事会秘书/时任信息披_x000D_
_x000D_
露负责人。_x000D_
_x000D_
</t>
  </si>
  <si>
    <t xml:space="preserve">_x000D_
_x000D_
安徽恒利机电科技股份有限公司（以下简称挂牌公司），住_x000D_
_x000D_
所地：安徽省安庆市潜山县经济开发区东环路。_x000D_
_x000D_
余云珂，男，1975年 10月出生，时任董事长。_x000D_
_x000D_
华中陆，男，1970年 2月出生，时任董事会秘书/时任信息_x000D_
_x000D_
披露负责人。_x000D_
_x000D_
</t>
  </si>
  <si>
    <t xml:space="preserve">_x000D_
_x000D_
博本智能科技(深圳)股份有限公司（以下简称挂牌公司），_x000D_
_x000D_
住所地：深圳市南山区粤海街道科苑路东科华路北东方科技大_x000D_
_x000D_
厦主楼 2206。_x000D_
_x000D_
张志远，男，1987年 4月出生，时任董事长。_x000D_
_x000D_
高攀，女，1982 年 10 月出生，时任董事会秘书/时任信息_x000D_
_x000D_
披露负责人。_x000D_
_x000D_
</t>
  </si>
  <si>
    <t xml:space="preserve">_x000D_
_x000D_
广州欣迪时尚科技股份有限公司（以下简称挂牌公司），住_x000D_
_x000D_
所地：广东省广州市白云区石夏路 188号 5001室。_x000D_
_x000D_
马彬，男，1979年 8月出生，时任董事长。_x000D_
_x000D_
胡承文，男，1986 年 10 月出生，时任董事会秘书/时任信_x000D_
_x000D_
息披露负责人。_x000D_
_x000D_
</t>
  </si>
  <si>
    <t xml:space="preserve">_x000D_
_x000D_
河南古城实业股份有限公司（以下简称挂牌公司），住所地：_x000D_
_x000D_
河南省许昌市延安路中段（光明路交叉口南 50米路东）。_x000D_
_x000D_
李国范，男，1973年 12月出生，时任董事长。_x000D_
_x000D_
冯彦果，女，1976年 8月出生，时任董事会秘书/时任信息_x000D_
_x000D_
披露负责人。_x000D_
_x000D_
</t>
  </si>
  <si>
    <t xml:space="preserve">_x000D_
_x000D_
张家口中业科技股份有限公司（以下简称挂牌公司），住所_x000D_
_x000D_
地：河北省张家口市桥东区东河沿街副 8号。_x000D_
_x000D_
田昌魁，男，1958年 2月出生，时任董事长。_x000D_
_x000D_
朱明婷，女，1983年 8月出生，时任董事会秘书/时任信息_x000D_
_x000D_
披露负责人。_x000D_
_x000D_
</t>
  </si>
  <si>
    <t xml:space="preserve">_x000D_
_x000D_
艾迪艾思（北京）科技股份有限公司（以下简称挂牌公司），_x000D_
_x000D_
住所地：北京市海淀区蓝靛厂南路 55号金威大厦 803-804。_x000D_
_x000D_
李亚飞，男，1978年 2月出生，时任董事长。_x000D_
_x000D_
吕芳，女，1977年 9月出生，时任董事会秘书/时任信息披_x000D_
_x000D_
露负责人。_x000D_
_x000D_
</t>
  </si>
  <si>
    <t xml:space="preserve">_x000D_
_x000D_
北京鹏程安泰尔救援装备制造股份有限公司（以下简称挂_x000D_
_x000D_
牌公司），住所地：北京市昌平区崔村镇麻峪村西原弹簧厂院内。_x000D_
_x000D_
乔云鹏，男，1968年 7月出生，时任董事长。_x000D_
_x000D_
蔡丽，女，1976年 9月出生，时任董事会秘书/时任信息披_x000D_
_x000D_
露负责人。_x000D_
_x000D_
</t>
  </si>
  <si>
    <t xml:space="preserve">_x000D_
_x000D_
广州佳华影业股份有限公司（以下简称挂牌公司），住所地：_x000D_
_x000D_
广东省广州市越秀区盘福路医国后街 1号自编 2号 403房。_x000D_
_x000D_
李忠武，男，1970年 2月出生，时任董事长。_x000D_
_x000D_
李颖，女，1973年 9月出生，时任董事会秘书/时任信息披_x000D_
_x000D_
露负责人。_x000D_
_x000D_
</t>
  </si>
  <si>
    <t xml:space="preserve">_x000D_
_x000D_
苏州英尔捷微电子股份有限公司（以下简称挂牌公司），住_x000D_
_x000D_
所地：江苏省苏州市苏州工业园区唯亭双马街 2 号星华产业园_x000D_
_x000D_
19-2号厂房。_x000D_
_x000D_
陆孙华，男，1962年 4月出生，时任董事长。_x000D_
_x000D_
沈霞，女，1977年 3月出生，时任董事会秘书/时任信息披_x000D_
_x000D_
露负责人。_x000D_
_x000D_
</t>
  </si>
  <si>
    <t xml:space="preserve">_x000D_
_x000D_
河南东和环保科技股份有限公司（以下简称挂牌公司），住_x000D_
_x000D_
所地：河南省商丘市民权县高新技术产业开发区建业路 2号。_x000D_
_x000D_
李栋，男，1970年 2月出生，时任董事长。_x000D_
_x000D_
魏洪峰，女，1975年 8月出生，时任董事会秘书/时任信息_x000D_
_x000D_
披露负责人。_x000D_
_x000D_
</t>
  </si>
  <si>
    <t xml:space="preserve">_x000D_
_x000D_
安徽光大医疗科技股份有限公司（以下简称挂牌公司），住_x000D_
_x000D_
所地：安徽省滁州市天长市东外环路西侧。_x000D_
_x000D_
陈柏林，男，1960年 2月出生，时任董事长。_x000D_
_x000D_
陈亮亮，男，1987 年 12 月出生，时任董事会秘书/时任信_x000D_
_x000D_
息披露负责人。_x000D_
_x000D_
</t>
  </si>
  <si>
    <t xml:space="preserve">_x000D_
_x000D_
深圳指盟网络科技股份有限公司（以下简称挂牌公司），住_x000D_
_x000D_
所地：深圳市龙华新区大浪街道华宁路厦门大学龙华产学研基_x000D_
_x000D_
地 808室。_x000D_
_x000D_
刘剑刚，男，1973年 10月出生，时任董事长。_x000D_
_x000D_
钟蔚然，男，1967年 4月出生，时任董事会秘书/时任信息_x000D_
_x000D_
披露负责人。_x000D_
_x000D_
</t>
  </si>
  <si>
    <t xml:space="preserve">_x000D_
_x000D_
河南大陆农牧技术股份有限公司（以下简称挂牌公司），住_x000D_
_x000D_
所地：郑州高新区翠竹街 1号 64幢 1单元 6层 06号、7层 07_x000D_
_x000D_
号。_x000D_
_x000D_
任勇，男，1966年 11月出生，时任董事长。_x000D_
_x000D_
罗砾，女，1974年 8月出生，时任董事会秘书/时任信息披_x000D_
_x000D_
露负责人。_x000D_
_x000D_
</t>
  </si>
  <si>
    <t xml:space="preserve">_x000D_
_x000D_
重庆天人节能技术股份有限公司（以下简称挂牌公司），住_x000D_
_x000D_
所地：重庆市合川工业园区城北拓展区成功工业园。_x000D_
_x000D_
鄢毅，男，1969年 11月出生，时任董事长。_x000D_
_x000D_
荣宁江，男，1978 年 10 月出生，时任董事会秘书/时任信_x000D_
_x000D_
息披露负责人。_x000D_
_x000D_
</t>
  </si>
  <si>
    <t xml:space="preserve">_x000D_
_x000D_
新疆威奥科技股份有限公司（以下简称挂牌公司），住所地：_x000D_
_x000D_
新疆克拉玛依市金西一街 5002号。_x000D_
_x000D_
李彦林，男，1962年 11月出生，时任董事长。_x000D_
_x000D_
郑永宏，男，1971年 5月出生，时任董事会秘书/时任信息_x000D_
_x000D_
披露负责人。_x000D_
_x000D_
</t>
  </si>
  <si>
    <t xml:space="preserve">_x000D_
_x000D_
宁波图骥科技股份有限公司（以下简称挂牌公司），住所地：_x000D_
_x000D_
浙江省宁波高新区创苑路 750号软件产业园 A208室。_x000D_
_x000D_
毛良涛，男，1988年 3月出生，时任董事长。_x000D_
_x000D_
张莹莹，女，1985年 2月出生，时任董事会秘书/时任信息_x000D_
_x000D_
披露负责人。_x000D_
_x000D_
</t>
  </si>
  <si>
    <t xml:space="preserve">_x000D_
_x000D_
杭州华蓝旭信息科技股份有限公司（以下简称挂牌公司），_x000D_
_x000D_
住所地：浙江省杭州市余杭区良渚街道良博路 249号。_x000D_
_x000D_
周颖，女，1991年 4月出生，时任董事长。_x000D_
_x000D_
刘明，男，1970年 2月出生，时任董事会秘书/时任信息披_x000D_
_x000D_
露负责人。_x000D_
_x000D_
</t>
  </si>
  <si>
    <t xml:space="preserve">_x000D_
_x000D_
北京中科可来博电子科技股份有限公司（以下简称挂牌公_x000D_
_x000D_
司），住所地：北京市海淀区中关村东路 89号恒兴大厦。_x000D_
_x000D_
陈曙光，男，1972年 9月出生，时任董事长。_x000D_
_x000D_
王润，男，1982年 6月出生，时任董事会秘书/时任信息披_x000D_
_x000D_
露负责人。_x000D_
_x000D_
</t>
  </si>
  <si>
    <t xml:space="preserve">_x000D_
_x000D_
北京赛孚制药股份有限公司（以下简称挂牌公司），住所地：_x000D_
_x000D_
北京市大兴区生物医药基地天贵大街 9号。_x000D_
_x000D_
胡继红，男，1979年 11月出生，时任董事长。_x000D_
_x000D_
赵大河，男，1970年 5月出生，时任董事会秘书/时任信息_x000D_
_x000D_
披露负责人。_x000D_
_x000D_
</t>
  </si>
  <si>
    <t xml:space="preserve">_x000D_
_x000D_
上海方心健康科技发展股份有限公司（以下简称挂牌公司），_x000D_
_x000D_
住所地：上海市中国（上海）自由贸易试验区蔡伦路 780号 716_x000D_
_x000D_
室。_x000D_
_x000D_
张昕，男，1968年 11月出生，时任董事长。_x000D_
_x000D_
孙猛，男，1980年 7月出生，时任董事会秘书/时任信息披_x000D_
_x000D_
露负责人。_x000D_
_x000D_
</t>
  </si>
  <si>
    <t xml:space="preserve">_x000D_
_x000D_
安徽润升牛业股份有限公司（以下简称挂牌公司），住所地：_x000D_
_x000D_
安徽省亳州市利辛县工业园区永兴路北侧。_x000D_
_x000D_
马进，男，1958年 5月出生，时任董事长。_x000D_
_x000D_
徐婷婷，女，1990年 1月出生，时任董事会秘书/时任信息_x000D_
_x000D_
披露负责人。_x000D_
_x000D_
</t>
  </si>
  <si>
    <t xml:space="preserve">_x000D_
_x000D_
云南坤瑞泰隆建材科技股份有限公司（以下简称挂牌公司），_x000D_
_x000D_
住所地：云南省昆明市晋宁工业园区晋城片区。_x000D_
_x000D_
李苑榕，女，1969年 3月出生，时任董事长。_x000D_
_x000D_
赵世民，男，1968 年 10 月出生，时任董事会秘书/时任信_x000D_
_x000D_
息披露负责人。_x000D_
_x000D_
</t>
  </si>
  <si>
    <t xml:space="preserve">_x000D_
_x000D_
江苏海天微电子股份有限公司（以下简称挂牌公司），住所_x000D_
_x000D_
地：江苏省扬中市八桥镇二桥中小企业创业园。_x000D_
_x000D_
匡习龙，男，1962年 10月出生，时任董事长。_x000D_
_x000D_
张杰，男，1991 年 11 月出生，时任董事会秘书/时任信息_x000D_
_x000D_
披露负责人。_x000D_
_x000D_
</t>
  </si>
  <si>
    <t xml:space="preserve">_x000D_
_x000D_
吉林喜丰节水科技股份有限公司（以下简称挂牌公司），住_x000D_
_x000D_
所地：白山市经济开发区高新技术产业园区。_x000D_
_x000D_
曹志强，男，1956年 7月出生，时任董事长。_x000D_
_x000D_
于磊，男，1978 年 12 月出生，时任董事会秘书/时任信息_x000D_
_x000D_
披露负责人。_x000D_
_x000D_
</t>
  </si>
  <si>
    <t xml:space="preserve">_x000D_
_x000D_
凉山州锡成新材料股份有限公司（以下简称挂牌公司），住_x000D_
_x000D_
所地：四川省凉山州冕宁县后山乡。_x000D_
_x000D_
周锡成，男，1962年 3月出生，时任董事长。_x000D_
_x000D_
王平，女，1992年 9月出生，时任董事会秘书/时任信息披_x000D_
_x000D_
露负责人。_x000D_
_x000D_
</t>
  </si>
  <si>
    <t xml:space="preserve">_x000D_
_x000D_
重庆泰壹环保新能源开发股份有限公司（以下简称挂牌公_x000D_
_x000D_
司），住所地：重庆市江北区江北觐阳门街 55号 2栋 22-3。_x000D_
_x000D_
张莉雪，女，1986年 8月出生，时任董事长。_x000D_
_x000D_
黄冬梅，女，1984 年 10 月出生，时任董事会秘书/时任信_x000D_
_x000D_
息披露负责人。_x000D_
_x000D_
</t>
  </si>
  <si>
    <t xml:space="preserve">_x000D_
_x000D_
上海行动者企业管理股份有限公司（以下简称挂牌公司），_x000D_
_x000D_
住所地：上海市中国（上海）自由贸易试验区芳春路 400号 1幢_x000D_
_x000D_
301-208室。_x000D_
_x000D_
杨林，男，1977年 3月出生，时任董事长。_x000D_
_x000D_
张彦，女，1977年 5月出生，时任董事会秘书/时任信息披_x000D_
_x000D_
露负责人。_x000D_
_x000D_
</t>
  </si>
  <si>
    <t xml:space="preserve">_x000D_
_x000D_
北京智云达科技股份有限公司（以下简称挂牌公司），住所_x000D_
_x000D_
地：北京市海淀区学院南路 68号 20号楼 601室。_x000D_
_x000D_
桑华春，女，1964年 4月出生，时任董事长。_x000D_
_x000D_
桑毅力，女，1973 年 11 月出生，时任董事会秘书/时任信_x000D_
_x000D_
息披露负责人。_x000D_
_x000D_
</t>
  </si>
  <si>
    <t xml:space="preserve">_x000D_
_x000D_
成都大众生态园林股份有限公司（以下简称挂牌公司），住_x000D_
_x000D_
所地：四川省成都市武侯区武兴五路 355号西部智谷 A1区 4栋_x000D_
_x000D_
10-11楼。_x000D_
_x000D_
邓虑明，男，1960年 1月出生，时任董事长。_x000D_
_x000D_
罗秀，女，1980年 5月出生，时任董事会秘书/时任信息披_x000D_
_x000D_
露负责人。_x000D_
_x000D_
</t>
  </si>
  <si>
    <t xml:space="preserve">_x000D_
_x000D_
北京盖特佳信息科技股份有限公司（以下简称挂牌公司），_x000D_
_x000D_
住所地：北京市海淀区白家疃尚水园 1号楼 1层 107。_x000D_
_x000D_
王挺，男，1956年 2月出生，时任董事长。_x000D_
_x000D_
华晓刚，男，1974年 9月出生，时任董事会秘书/时任信息_x000D_
_x000D_
披露负责人。_x000D_
_x000D_
</t>
  </si>
  <si>
    <t xml:space="preserve">_x000D_
_x000D_
上海立特营销股份有限公司（以下简称挂牌公司），住所地：_x000D_
_x000D_
上海市嘉定区园区路 1218号 2幢 3320室。_x000D_
_x000D_
陈振荣，男，1967年 7月出生，时任董事长。_x000D_
_x000D_
胡炯，男，1970年 3月出生，时任董事会秘书/时任信息披_x000D_
_x000D_
露负责人。_x000D_
_x000D_
</t>
  </si>
  <si>
    <t xml:space="preserve">_x000D_
_x000D_
江西科得新材料股份有限公司（以下简称挂牌公司），住所_x000D_
_x000D_
地：江西省南昌市南昌县小蓝经济开发区富山一路 518号。_x000D_
_x000D_
奉玉贞，女，1964年 2月出生，时任董事长。_x000D_
_x000D_
何为民，男，1963 年 11 月出生，时任董事会秘书/时任信_x000D_
_x000D_
息披露负责人。_x000D_
_x000D_
</t>
  </si>
  <si>
    <t xml:space="preserve">_x000D_
_x000D_
哈尔滨庆功林泵业股份有限公司（以下简称挂牌公司），住_x000D_
_x000D_
所地：黑龙江省哈尔滨市香坊区公滨路 51号。_x000D_
_x000D_
朴成功，男，1957年 12月出生，时任董事长。_x000D_
_x000D_
高洪亮，男，1965 年 11 月出生，时任董事会秘书/时任信_x000D_
_x000D_
息披露负责人。_x000D_
_x000D_
</t>
  </si>
  <si>
    <t xml:space="preserve">_x000D_
_x000D_
武汉东智科技股份有限公司（以下简称挂牌公司），住所地：_x000D_
_x000D_
湖北省武汉市武昌区友谊大道 6号广达大厦附楼 4楼。_x000D_
_x000D_
聂晖，男，1977年 7月出生，时任董事长。_x000D_
_x000D_
廖群，男，1975年 9月出生，时任董事会秘书/时任信息披_x000D_
_x000D_
露负责人。_x000D_
_x000D_
</t>
  </si>
  <si>
    <t xml:space="preserve">_x000D_
_x000D_
湖南湘联节能科技股份有限公司（以下简称挂牌公司），住_x000D_
_x000D_
所地：湖南省长沙市长沙经济技术开发区盼盼路 1号。_x000D_
_x000D_
陈为军，男，1971年 9月出生，时任董事长。_x000D_
_x000D_
刘宗高，男，1963年 8月出生，时任董事会秘书/时任信息_x000D_
_x000D_
披露负责人。_x000D_
_x000D_
</t>
  </si>
  <si>
    <t xml:space="preserve">_x000D_
_x000D_
深圳市鸿益达供应链股份有限公司（以下简称挂牌公司），_x000D_
_x000D_
住所地：广东省深圳市宝安区福海街道新和社区新兴工业园三_x000D_
_x000D_
区一期 9号 101第一、二层。_x000D_
_x000D_
彭远红，男，1966年 4月出生，时任董事长。_x000D_
_x000D_
梁兆禧，男，1964年 5月出生，时任董事会秘书/时任信息_x000D_
_x000D_
披露负责人。_x000D_
_x000D_
</t>
  </si>
  <si>
    <t xml:space="preserve">_x000D_
_x000D_
首特华峰机械装备制造股份有限公司（以下简称挂牌公司），_x000D_
_x000D_
住所地：河北省高碑店市梁家营乡蔡庄村南。_x000D_
_x000D_
陈正友，男，1963年 10月出生，时任董事长。_x000D_
_x000D_
王晓云，女，1983年 5月出生，时任董事会秘书/时任信息_x000D_
_x000D_
披露负责人。_x000D_
_x000D_
</t>
  </si>
  <si>
    <t xml:space="preserve">_x000D_
_x000D_
北京拓美文化传媒股份有限公司（以下简称挂牌公司），住_x000D_
_x000D_
所地：北京市东城区新中西里 13号巨石大厦西区四层。_x000D_
_x000D_
余静涛，男，1984年 7月出生，时任董事长。_x000D_
_x000D_
于晓舟，男，1983年 3月出生，时任董事会秘书/时任信息_x000D_
_x000D_
披露负责人。_x000D_
_x000D_
</t>
  </si>
  <si>
    <t xml:space="preserve">_x000D_
_x000D_
上海馋神国际贸易股份有限公司（以下简称挂牌公司），住_x000D_
_x000D_
所地：上海市普陀区真北路 3199弄 29号四楼。_x000D_
_x000D_
张明海，男，1964年 3月出生，时任董事长。_x000D_
_x000D_
刘玉清，男，1968年 7月出生，时任董事会秘书/时任信息_x000D_
_x000D_
披露负责人。_x000D_
_x000D_
</t>
  </si>
  <si>
    <t xml:space="preserve">_x000D_
_x000D_
安徽白兔湖动力股份有限公司（以下简称挂牌公司），住所_x000D_
_x000D_
地：安徽省桐城经济开发区同祥路。_x000D_
_x000D_
汪舵海，男，1974年 5月出生，时任董事长。_x000D_
_x000D_
张神钢，女，1972年 6月出生，时任董事会秘书/时任信息_x000D_
_x000D_
披露负责人。_x000D_
_x000D_
</t>
  </si>
  <si>
    <t xml:space="preserve">_x000D_
_x000D_
襄阳佰蒂生物科技股份有限公司（以下简称挂牌公司），住_x000D_
_x000D_
所地：湖北省襄阳市保康县城关镇发展路 2号。_x000D_
_x000D_
邓以超，男，1973年 10月出生，时任董事长。_x000D_
_x000D_
刘新明，男，1969年 8月出生，时任董事会秘书/时任信息_x000D_
_x000D_
披露负责人。_x000D_
_x000D_
</t>
  </si>
  <si>
    <t xml:space="preserve">_x000D_
_x000D_
深圳中科讯联科技股份有限公司（以下简称挂牌公司），住_x000D_
_x000D_
所地：深圳市南山区桃源街道塘岭路 1 号福光商务大厦 14 楼_x000D_
_x000D_
1407房。_x000D_
_x000D_
张明宇，男，1977年 6月出生，时任董事长。_x000D_
_x000D_
张小龙，男，1977 年 10 月出生，时任董事会秘书/时任信_x000D_
_x000D_
息披露负责人。_x000D_
_x000D_
</t>
  </si>
  <si>
    <t xml:space="preserve">_x000D_
_x000D_
上海中加飞机机载设备维修股份有限公司（以下简称挂牌_x000D_
_x000D_
公司），住所地：上海自由贸易试验区德堡路 38 号 502-11 室。_x000D_
_x000D_
凌凯礼，男，1951年 10月出生，时任董事长。_x000D_
_x000D_
张冬梅，女，1964年 1月出生，时任董事会秘书/时任信息_x000D_
_x000D_
披露负责人。_x000D_
_x000D_
</t>
  </si>
  <si>
    <t xml:space="preserve">_x000D_
_x000D_
重庆澳凯龙医疗科技股份有限公司（以下简称挂牌公司），_x000D_
_x000D_
住所地：重庆市北碚区京东方大道 386号。_x000D_
_x000D_
童俊平，男，1963年 6月出生，时任董事长。_x000D_
_x000D_
谭琼，女，1978年 7月出生，时任董事会秘书/时任信息披_x000D_
_x000D_
露负责人。_x000D_
_x000D_
</t>
  </si>
  <si>
    <t xml:space="preserve">_x000D_
_x000D_
北京高科中天技术股份有限公司（以下简称挂牌公司），住_x000D_
_x000D_
所地：北京市顺义区天竺镇天竺家园 17号 17幢 2层 2601室。_x000D_
_x000D_
马俊杰，男，1973年 3月出生，时任董事长。_x000D_
_x000D_
李丽，女，1974年 1月出生，时任董事会秘书/时任信息披_x000D_
_x000D_
露负责人。_x000D_
_x000D_
</t>
  </si>
  <si>
    <t xml:space="preserve">_x000D_
_x000D_
北京八叶科技股份有限公司（以下简称挂牌公司），住所地：_x000D_
_x000D_
北京市丰台区航丰园科技大厦 a座 0807号（园区）。_x000D_
_x000D_
肖本河，男，1968年 8月出生，时任董事长。_x000D_
_x000D_
范春艳，女，1967年 2月出生，时任董事会秘书/时任信息_x000D_
_x000D_
披露负责人。_x000D_
_x000D_
</t>
  </si>
  <si>
    <t xml:space="preserve">_x000D_
_x000D_
北京中科同志科技股份有限公司（以下简称挂牌公司），住_x000D_
_x000D_
所地：北京市朝阳区酒仙桥路甲 10号 1号楼 6层 6D。_x000D_
_x000D_
赵永先，男，1975年 5月出生，时任董事长。_x000D_
_x000D_
邓燕，女，1977 年 11 月出生，时任董事会秘书/时任信息_x000D_
_x000D_
披露负责人。_x000D_
_x000D_
</t>
  </si>
  <si>
    <t xml:space="preserve">_x000D_
_x000D_
沈阳新久利管业股份有限公司（以下简称挂牌公司），住所_x000D_
_x000D_
地：辽宁省铁岭市调兵山市城南开发区弘业路东段(调兵山华康_x000D_
_x000D_
肉类加工有限公司东侧)。_x000D_
_x000D_
袭建强，男，1957年 10月出生，时任董事长。_x000D_
_x000D_
刘志刚，男，1985年 2月出生，时任董事会秘书/时任信息_x000D_
_x000D_
披露负责人。_x000D_
_x000D_
</t>
  </si>
  <si>
    <t xml:space="preserve">_x000D_
_x000D_
宁夏网虫信息技术股份有限公司（以下简称挂牌公司），住_x000D_
_x000D_
所地：中卫市海原县文昌路建民巷 42号。_x000D_
_x000D_
葛昱，男，1976年 7月出生，时任董事长。_x000D_
_x000D_
许莉，女，1986年 8月出生，时任董事会秘书/时任信息披_x000D_
_x000D_
露负责人。_x000D_
_x000D_
</t>
  </si>
  <si>
    <t xml:space="preserve">_x000D_
_x000D_
山东合力达科技股份有限公司（以下简称挂牌公司），住所_x000D_
_x000D_
地：山东省济南市高新区工业南路 51 号小鸭工业园合力达楼_x000D_
_x000D_
301室。_x000D_
_x000D_
李洪林，男，1976年 2月出生，时任董事长。_x000D_
_x000D_
阚海燕，女，1978年 9月出生，时任董事会秘书/时任信息_x000D_
_x000D_
披露负责人。_x000D_
_x000D_
</t>
  </si>
  <si>
    <t xml:space="preserve">_x000D_
_x000D_
湖北华工能源股份有限公司（以下简称挂牌公司），住所地：_x000D_
_x000D_
湖北省武汉市洪山区徐东凯旋门广场 A座 1206室。_x000D_
_x000D_
贾荣东，男，1963年 5月出生，时任董事长。_x000D_
_x000D_
贾苏媛，女，1982年 9月出生，时任董事会秘书/时任信息_x000D_
_x000D_
披露负责人。_x000D_
_x000D_
</t>
  </si>
  <si>
    <t xml:space="preserve">_x000D_
_x000D_
福建建润电子科技股份有限公司（以下简称挂牌公司），住_x000D_
_x000D_
所地：福建省龙岩市上杭县南岗工业开发区。_x000D_
_x000D_
张天生，男，1975年 3月出生，时任董事长。_x000D_
_x000D_
舒华凤，女，1982年 2月出生，时任董事会秘书/时任信息_x000D_
_x000D_
披露负责人。_x000D_
_x000D_
</t>
  </si>
  <si>
    <t xml:space="preserve">_x000D_
_x000D_
江西北陆服饰股份有限公司（以下简称挂牌公司），住所地：_x000D_
_x000D_
江西省赣州市于都县工业园区上欧小区。_x000D_
_x000D_
钟荣福，男，1972年 5月出生，时任董事长。_x000D_
_x000D_
钟淑瑛，女，1996年 9月出生，时任董事会秘书/时任信息_x000D_
_x000D_
披露负责人。_x000D_
_x000D_
</t>
  </si>
  <si>
    <t xml:space="preserve">_x000D_
_x000D_
苏州掌柜软件股份有限公司（以下简称挂牌公司），住所地：_x000D_
_x000D_
江苏省苏州市吴中区苏蠡路 81号苏蠡商务大厦 1108室。_x000D_
_x000D_
李元宏，男，1976年 2月出生，时任董事长。_x000D_
_x000D_
徐前进，男，1990年 1月出生，时任董事会秘书/时任信息_x000D_
_x000D_
披露负责人。_x000D_
_x000D_
</t>
  </si>
  <si>
    <t xml:space="preserve">_x000D_
_x000D_
湖南智卓创新信息产业股份有限公司（以下简称挂牌公司），_x000D_
_x000D_
住所地：湖南省长沙市高新开发区桐梓坡西路 348 号 101 栋五_x000D_
_x000D_
楼、主车间一楼。_x000D_
_x000D_
贾连锁，男，1971年 8月出生，时任董事长。_x000D_
_x000D_
贾雪姣，女，1990 年 11 月出生，时任董事会秘书/时任信_x000D_
_x000D_
息披露负责人。_x000D_
_x000D_
</t>
  </si>
  <si>
    <t xml:space="preserve">_x000D_
_x000D_
浙江久源林业科技股份有限公司（以下简称挂牌公司），住_x000D_
_x000D_
所地：浙江省衢州市开化县工业园区园一路 10号。_x000D_
_x000D_
黄正泽，男，1966年 4月出生，时任董事长。_x000D_
_x000D_
黄鹏，男，1974年 7月出生，时任董事会秘书/时任信息披_x000D_
_x000D_
露负责人。_x000D_
_x000D_
</t>
  </si>
  <si>
    <t xml:space="preserve">_x000D_
_x000D_
北京益诚嘉华科技股份有限公司（以下简称挂牌公司），住_x000D_
_x000D_
所地：北京市顺义区赵全营镇兆丰产业基地园盈路 7号。_x000D_
_x000D_
金光荣，男，1965年 12月出生，时任董事长。_x000D_
_x000D_
承元兴，男，1975年 7月出生，时任董事会秘书/时任信息_x000D_
_x000D_
披露负责人。_x000D_
_x000D_
</t>
  </si>
  <si>
    <t xml:space="preserve">_x000D_
_x000D_
聊城继东华明机械股份有限公司（以下简称挂牌公司），住_x000D_
_x000D_
所地：山东省聊城市临清市经济开发区什方院。_x000D_
_x000D_
郑纪明，男，1973年 8月出生，时任董事会秘书/时任信息_x000D_
_x000D_
披露负责人。_x000D_
_x000D_
</t>
  </si>
  <si>
    <t xml:space="preserve">_x000D_
_x000D_
洛阳润环轴承科技股份有限公司（以下简称挂牌公司），住_x000D_
_x000D_
所地：河南省洛阳市高新开发区滨河路 22号付 1号。_x000D_
_x000D_
李德亮，男，1953年 7月出生，时任董事长。_x000D_
_x000D_
张建华，女，1982 年 11 月出生，时任董事会秘书/时任信_x000D_
_x000D_
息披露负责人。_x000D_
_x000D_
</t>
  </si>
  <si>
    <t xml:space="preserve">_x000D_
_x000D_
河北地平线通用航空股份有限公司（以下简称挂牌公司），_x000D_
_x000D_
住所地：河北省石家庄市高新区日中天科技园众创空间 B1。_x000D_
_x000D_
卢明，男，1978年 1月出生，时任董事长。_x000D_
_x000D_
衡风帆，男，1985年 6月出生，时任董事会秘书/时任信息_x000D_
_x000D_
披露负责人。_x000D_
_x000D_
</t>
  </si>
  <si>
    <t xml:space="preserve">_x000D_
_x000D_
天津庆泉宠物用品股份有限公司（以下简称挂牌公司），住_x000D_
_x000D_
所地：天津市宝坻区天宝工业园宝旺道 18号。_x000D_
_x000D_
张庆海，男，1959年 9月出生，时任董事长。_x000D_
_x000D_
褚秀梅，女，1974年 5月出生，时任董事会秘书/时任信息_x000D_
_x000D_
披露负责人。_x000D_
_x000D_
</t>
  </si>
  <si>
    <t xml:space="preserve">_x000D_
_x000D_
江苏谷峰电力科技股份有限公司（以下简称挂牌公司），住_x000D_
_x000D_
所地：江苏省南京市江宁空港枢纽经济区博爱路 1号。_x000D_
_x000D_
张高锋，男，1977年 4月出生，时任董事长。_x000D_
_x000D_
熊娟，女，1970年 4月出生，时任董事会秘书/时任信息披_x000D_
_x000D_
露负责人。_x000D_
_x000D_
</t>
  </si>
  <si>
    <t xml:space="preserve">_x000D_
_x000D_
励福(江门)环保科技股份有限公司（以下简称挂牌公司），_x000D_
_x000D_
住所地：广东省江门市高新西路 191号。_x000D_
_x000D_
黄健华，男，1969年 10月出生，时任董事长。_x000D_
_x000D_
陈贤园，女，1982年 9月出生，时任董事会秘书/时任信息_x000D_
_x000D_
披露负责人。_x000D_
_x000D_
</t>
  </si>
  <si>
    <t xml:space="preserve">_x000D_
_x000D_
陕西泰嘉电子股份有限公司（以下简称挂牌公司），住所地：_x000D_
_x000D_
陕西省咸阳市秦都区高新一路 1号创业大厦 305室。_x000D_
_x000D_
申小琳，男，1955年 10月出生，时任董事长。_x000D_
_x000D_
刘玉婷，女，1983年 1月出生，时任董事会秘书/时任信息_x000D_
_x000D_
披露负责人。_x000D_
_x000D_
</t>
  </si>
  <si>
    <t xml:space="preserve">_x000D_
_x000D_
河北金土生物科技股份有限公司（以下简称挂牌公司），住_x000D_
_x000D_
所地：河北省唐山市路南区稻地镇大公庄村。_x000D_
_x000D_
陈志国，男，1971年 1月出生，时任董事长。_x000D_
_x000D_
王洪英，女，1971年 2月出生，时任董事会秘书/时任信息_x000D_
_x000D_
披露负责人。_x000D_
_x000D_
</t>
  </si>
  <si>
    <t xml:space="preserve">_x000D_
_x000D_
胜利德润能源股份有限公司（以下简称挂牌公司），住所地：_x000D_
_x000D_
山东省东营市东营区西四路 518号海诺利华大厦 4楼。_x000D_
_x000D_
赵锡军，男，1968年 9月出生，时任董事长。_x000D_
_x000D_
洪东洲，男，1986年 3月出生，时任董事会秘书/时任信息_x000D_
_x000D_
披露负责人。_x000D_
_x000D_
</t>
  </si>
  <si>
    <t xml:space="preserve">_x000D_
_x000D_
重庆天开园林股份有限公司（以下简称挂牌公司），住所地：_x000D_
_x000D_
重庆市渝北区龙塔街道佳园路 66号浩博星辰办公楼 1幢 5 层。_x000D_
_x000D_
陈友祥，男，1974年 5月出生，时任董事长。_x000D_
_x000D_
吴建华，男，1973年 4月出生，时任董事会秘书/时任信息_x000D_
_x000D_
披露负责人。_x000D_
_x000D_
</t>
  </si>
  <si>
    <t xml:space="preserve">_x000D_
_x000D_
郭氏博信中医科技(北京)股份有限公司（以下简称挂牌公_x000D_
_x000D_
司），住所地：北京市海淀区龙岗路 51号院 6号楼 2层 6277室。_x000D_
_x000D_
吴春晖，女，1979年 4月出生，时任董事长。_x000D_
_x000D_
岳嵩，男，1976年 4月出生，时任董事会秘书/时任信息披_x000D_
_x000D_
露负责人。_x000D_
_x000D_
</t>
  </si>
  <si>
    <t xml:space="preserve">_x000D_
_x000D_
宁波燎原电器集团股份有限公司（以下简称挂牌公司），住_x000D_
_x000D_
所地：浙江省宁波市海曙区科茂路 366号。_x000D_
_x000D_
祝元，男，1986年 10月出生，时任董事长。_x000D_
_x000D_
陈梅香，女，1965年 1月出生，时任董事会秘书/时任信息_x000D_
_x000D_
披露负责人。_x000D_
_x000D_
</t>
  </si>
  <si>
    <t xml:space="preserve">_x000D_
_x000D_
余江天余生态农业科技股份有限公司（以下简称挂牌公司），_x000D_
_x000D_
住所地：江西省鹰潭市余江县 311高速挂线。_x000D_
_x000D_
余志高，男，1965年 12月出生，时任董事长。_x000D_
_x000D_
余铮，女，1991年 9月出生，时任董事会秘书/时任信息披_x000D_
_x000D_
露负责人。_x000D_
_x000D_
</t>
  </si>
  <si>
    <t xml:space="preserve">_x000D_
_x000D_
山东威能环保电源科技股份有限公司（以下简称挂牌公司），_x000D_
_x000D_
住所地：山东省寿光市东城工业园。_x000D_
_x000D_
张风太，男，1966年 1月出生，时任董事长。_x000D_
_x000D_
张承敏，女，1982年 1月出生，时任董事会秘书/时任信息_x000D_
_x000D_
披露负责人。_x000D_
_x000D_
</t>
  </si>
  <si>
    <t xml:space="preserve">_x000D_
_x000D_
洛阳宇航重工科技股份有限公司（以下简称挂牌公司），住_x000D_
_x000D_
所地：河南省洛阳市先进制造业集聚区涧西科技工业园。_x000D_
_x000D_
岳新立，男，1958年 9月出生，时任董事长。_x000D_
_x000D_
岳鹏，男，1988年 7月出生，时任董事会秘书/时任信息披_x000D_
_x000D_
露负责人。_x000D_
_x000D_
</t>
  </si>
  <si>
    <t xml:space="preserve">_x000D_
_x000D_
北京弘视际影业股份有限公司（以下简称挂牌公司），住所_x000D_
_x000D_
地：北京市朝阳区广渠路北侧 101号梦谷园 C座 101室。_x000D_
_x000D_
郑克洪，男，1963年 12月出生，时任董事长。_x000D_
_x000D_
郝彬彬，女，1974年 2月出生，时任董事会秘书/时任信息_x000D_
_x000D_
披露负责人。_x000D_
_x000D_
</t>
  </si>
  <si>
    <t xml:space="preserve">_x000D_
_x000D_
成都天意天映数字科技传媒股份有限公司（以下简称挂牌_x000D_
_x000D_
公司），住所地：四川省成都市高新区科技孵化园内。_x000D_
_x000D_
曾剑，男，1973年 4月出生，时任董事长。_x000D_
_x000D_
王彬，男，1985年 6月出生，时任董事会秘书/时任信息披_x000D_
_x000D_
露负责人。_x000D_
_x000D_
</t>
  </si>
  <si>
    <t xml:space="preserve">_x000D_
_x000D_
皓月汽车安全系统技术股份有限公司（以下简称挂牌公司），_x000D_
_x000D_
住所地：江苏省靖江市东兴镇南路 14号。_x000D_
_x000D_
姚明成，男，1970年 2月出生，时任董事长。_x000D_
_x000D_
恽祥燕，女，1987 年 12 月出生，时任董事会秘书/时任信_x000D_
_x000D_
息披露负责人。_x000D_
_x000D_
</t>
  </si>
  <si>
    <t xml:space="preserve">_x000D_
_x000D_
陕西华银科技股份有限公司（以下简称挂牌公司），住所地：_x000D_
_x000D_
陕西省安康高新技术产业开发区科技路 1号。_x000D_
_x000D_
郑建伟，男，1972年 3月出生，时任董事长。_x000D_
_x000D_
高丽红，女，1985 年 11 月出生，时任董事会秘书/时任信_x000D_
_x000D_
息披露负责人。_x000D_
_x000D_
</t>
  </si>
  <si>
    <t xml:space="preserve">_x000D_
_x000D_
深圳市华森科技股份有限公司（以下简称挂牌公司），住所_x000D_
_x000D_
地：广东省深圳市宝安区沙井街道坣岗泰丰工业区（恒强工业_x000D_
_x000D_
区）B栋。_x000D_
_x000D_
黄志文，男，1974年 6月出生，时任董事长。_x000D_
_x000D_
李成功，男，1969年 7月出生，时任董事会秘书/时任信息_x000D_
_x000D_
披露负责人。_x000D_
_x000D_
</t>
  </si>
  <si>
    <t xml:space="preserve">_x000D_
_x000D_
内蒙古长明机械股份有限公司（以下简称挂牌公司），住所_x000D_
_x000D_
地：内蒙古赤峰市宁城县天义镇农业机械制造园区。_x000D_
_x000D_
张明，男，1960年 9月出生，时任董事长。_x000D_
_x000D_
潘燕，女，1984 年 10 月出生，时任董事会秘书/时任信息_x000D_
_x000D_
披露负责人。_x000D_
_x000D_
</t>
  </si>
  <si>
    <t xml:space="preserve">_x000D_
_x000D_
山东科耐燃气冰箱制造股份有限公司（以下简称挂牌公司），_x000D_
_x000D_
住所地：山东省淄博市张店区湖田镇玉皇山西坡。_x000D_
_x000D_
张天恒，男，1959年 7月出生，时任董事长。_x000D_
_x000D_
崔栋，男，1992年 7月出生，时任董事会秘书/时任信息披_x000D_
_x000D_
露负责人。_x000D_
_x000D_
</t>
  </si>
  <si>
    <t xml:space="preserve">_x000D_
_x000D_
深圳市吉祥世家科技股份有限公司（以下简称挂牌公司），_x000D_
_x000D_
住所地：深圳市龙岗区南湾街道丹竹头社区宝雅路 23号。_x000D_
_x000D_
李瑞平，男，1976年 8月出生，时任董事长。_x000D_
_x000D_
范华平，男，1977年 9月出生，时任董事会秘书/时任信息_x000D_
_x000D_
披露负责人。_x000D_
_x000D_
</t>
  </si>
  <si>
    <t xml:space="preserve">_x000D_
_x000D_
中青英拓(北京)科技股份有限公司（以下简称挂牌公司），_x000D_
_x000D_
住所地：北京市东城区金宝街 21号 2F。_x000D_
_x000D_
袁邦祥，男，1972年 9月出生，时任董事长。_x000D_
_x000D_
齐振宏，女，1973年 2月出生，时任董事会秘书/时任信息_x000D_
_x000D_
披露负责人。_x000D_
_x000D_
</t>
  </si>
  <si>
    <t xml:space="preserve">_x000D_
_x000D_
河南宇建科技股份有限公司（以下简称挂牌公司），住所地：_x000D_
_x000D_
河南省焦作市黄河大道(西段)128号。_x000D_
_x000D_
朱福兵，男，1981年 4月出生，时任董事长。_x000D_
_x000D_
罗剑英，女，1971年 1月出生，时任董事会秘书/时任信息_x000D_
_x000D_
披露负责人。_x000D_
_x000D_
</t>
  </si>
  <si>
    <t xml:space="preserve">_x000D_
_x000D_
江西大华新材料股份有限公司（以下简称挂牌公司），住所_x000D_
_x000D_
地：江西省宜春市奉新县奉新工业园区。_x000D_
_x000D_
孙彬彬，女，1984年 11月出生，时任董事长。_x000D_
_x000D_
彭有苏，女，1976年 1月出生，时任董事会秘书/时任信息_x000D_
_x000D_
披露负责人。_x000D_
_x000D_
</t>
  </si>
  <si>
    <t xml:space="preserve">_x000D_
_x000D_
青岛晓天智能装备股份有限公司（以下简称挂牌公司），住_x000D_
_x000D_
所地：山东省青岛市胶州市胶莱镇马店工业园晓天路。_x000D_
_x000D_
张邦伟，男，1968年 9月出生，时任董事长。_x000D_
_x000D_
熊志敏，男，1976年 1月出生，时任董事会秘书/时任信息_x000D_
_x000D_
披露负责人。_x000D_
_x000D_
</t>
  </si>
  <si>
    <t xml:space="preserve">_x000D_
_x000D_
北京辉宏世纪科技股份有限公司（以下简称挂牌公司），住_x000D_
_x000D_
所地：北京市顺义区赵全营镇兆丰产业基地园盈路 7号。_x000D_
_x000D_
高志博，男，1970年 8月出生，时任董事长。_x000D_
_x000D_
冯芃，男，1992年 1月出生，时任董事会秘书/时任信息披_x000D_
_x000D_
露负责人。_x000D_
_x000D_
</t>
  </si>
  <si>
    <t xml:space="preserve">_x000D_
_x000D_
河北宏润核装备科技股份有限公司（以下简称挂牌公司），_x000D_
_x000D_
住所地：河北省沧州市盐山县蒲洼城工业区。_x000D_
_x000D_
刘春海，男，1954年 9月出生，时任董事长。_x000D_
_x000D_
马乐，男，1987年 9月出生，时任董事会秘书/时任信息披_x000D_
_x000D_
露负责人。_x000D_
_x000D_
</t>
  </si>
  <si>
    <t xml:space="preserve">_x000D_
_x000D_
浙江金大地生物科技股份有限公司（以下简称挂牌公司），_x000D_
_x000D_
住所地：浙江省诸暨市暨阳街道城东路 270号。_x000D_
_x000D_
陈伯宜，男，1955年 4月出生，时任董事长。_x000D_
_x000D_
钟伟霞，女，1972年 1月出生，时任董事会秘书/时任信息_x000D_
_x000D_
披露负责人。_x000D_
_x000D_
</t>
  </si>
  <si>
    <t xml:space="preserve">_x000D_
_x000D_
赛浪车联汽车科技(北京)股份有限公司（以下简称挂牌公_x000D_
_x000D_
司），住所地：北京市顺义区天竺镇天竺家园 17 号 17 幢 2 层_x000D_
_x000D_
255室。_x000D_
_x000D_
刘顺钊，男，1970年 4月出生，时任董事长。_x000D_
_x000D_
范敏，男，1972年 2月出生，时任董事会秘书/时任信息披_x000D_
_x000D_
露负责人。_x000D_
_x000D_
</t>
  </si>
  <si>
    <t xml:space="preserve">_x000D_
_x000D_
泉州市诺伊曼信息科技股份公司（以下简称挂牌公司），住_x000D_
_x000D_
所地：福建省泉州市晋江市梅岭街道梅山世纪大道君悦湾小区_x000D_
_x000D_
1号。_x000D_
_x000D_
林锦标，男，1983年 1月出生，时任董事长。_x000D_
_x000D_
王永华，男，1978年 4月出生，时任董事会秘书/时任信息_x000D_
_x000D_
披露负责人。_x000D_
_x000D_
</t>
  </si>
  <si>
    <t xml:space="preserve">_x000D_
_x000D_
江苏群鑫粉体科技股份有限公司（以下简称挂牌公司），住_x000D_
_x000D_
所地：江苏省扬州市江都区武坚镇工业园区。_x000D_
_x000D_
张国如，男，1967年 10月出生，时任董事长。_x000D_
_x000D_
黄志，男，1975年 3月出生，时任董事会秘书/时任信息披_x000D_
_x000D_
露负责人。_x000D_
_x000D_
</t>
  </si>
  <si>
    <t xml:space="preserve">_x000D_
_x000D_
福建亿同世纪软件科技股份有限公司（以下简称挂牌公司），_x000D_
_x000D_
住所地：福建省福州市鼓楼区铜盘路软件大道 89号福州软件园_x000D_
_x000D_
F区 6号楼 22层。_x000D_
_x000D_
陈章恒，男，1973年 1月出生，时任董事长。_x000D_
_x000D_
陈丽娟，女，1989 年 11 月出生，时任董事会秘书/时任信_x000D_
_x000D_
息披露负责人。_x000D_
_x000D_
</t>
  </si>
  <si>
    <t xml:space="preserve">_x000D_
_x000D_
自贡天健生物科技股份有限公司（以下简称挂牌公司），住_x000D_
_x000D_
所地：四川省自贡市沿滩区高新工业园区金川路 15号服务中心_x000D_
_x000D_
综合楼 3-2号 304房屋。_x000D_
_x000D_
曹建忠，男，1973年 9月出生，时任董事长。_x000D_
_x000D_
邓华，男，1967 年 10 月出生，时任董事会秘书/时任信息_x000D_
_x000D_
披露负责人。_x000D_
_x000D_
</t>
  </si>
  <si>
    <t xml:space="preserve">_x000D_
_x000D_
深圳中科君浩科技股份有限公司（以下简称挂牌公司），住_x000D_
_x000D_
所地：广东省深圳市南山区科技路 1 号桑达科技大厦 8 层东侧_x000D_
_x000D_
房屋。_x000D_
_x000D_
黄松，男，1974年 12月出生，时任董事长。_x000D_
_x000D_
丰波，女，1984 年 12 月出生，时任董事会秘书/时任信息_x000D_
_x000D_
披露负责人。_x000D_
_x000D_
</t>
  </si>
  <si>
    <t xml:space="preserve">_x000D_
_x000D_
云南龙发制药股份有限公司（以下简称挂牌公司），住所地：_x000D_
_x000D_
云南省楚雄市鹿城南路 384号。_x000D_
_x000D_
焦家良，男，1963年 11月出生，时任董事长。_x000D_
_x000D_
邱中虎，男，1984年 7月出生，时任董事会秘书/时任信息_x000D_
_x000D_
披露负责人。_x000D_
_x000D_
</t>
  </si>
  <si>
    <t xml:space="preserve">_x000D_
_x000D_
天津慧科电子股份有限公司（以下简称挂牌公司），住所地：_x000D_
_x000D_
天津开发区洞庭路 2号第十层 G座。_x000D_
_x000D_
郑海刚，男，1974年 2月出生，时任董事长。_x000D_
_x000D_
张昕，男，1977年 7月出生，时任董事会秘书/时任信息披_x000D_
_x000D_
露负责人。_x000D_
_x000D_
</t>
  </si>
  <si>
    <t xml:space="preserve">_x000D_
_x000D_
福建国民商用软件股份有限公司（以下简称挂牌公司），住_x000D_
_x000D_
所地：福建省福州市仓山区建新镇金洲北路 7 号 88 号楼四层。_x000D_
_x000D_
林茶花，女，1978年 11月出生，时任董事长。_x000D_
_x000D_
张忠英，女，1978年 9月出生，时任董事会秘书/时任信息_x000D_
_x000D_
披露负责人。_x000D_
_x000D_
</t>
  </si>
  <si>
    <t xml:space="preserve">_x000D_
_x000D_
深圳海龙精密股份有限公司（以下简称挂牌公司），住所地：_x000D_
_x000D_
广东省深圳市宝安区西乡街道前进路东南侧海龙工业区一栋一_x000D_
_x000D_
层、二栋一至三层。_x000D_
_x000D_
张陈松娜，女，1962年 7月出生，时任董事长。_x000D_
_x000D_
罗雪娥，女，1981年 6月出生，时任董事会秘书/时任信息_x000D_
_x000D_
披露负责人。_x000D_
_x000D_
</t>
  </si>
  <si>
    <t xml:space="preserve">_x000D_
_x000D_
上海沃特奇能源科技股份有限公司（以下简称挂牌公司），_x000D_
_x000D_
住所地：上海市杨浦区隆昌路 588号 2号楼 1001、1002、1003、_x000D_
_x000D_
1005室。_x000D_
_x000D_
马浩进，男，1961年 10月出生，时任董事长。_x000D_
_x000D_
解文燕，女，1974年 4月出生，时任董事会秘书/时任信息_x000D_
_x000D_
披露负责人。_x000D_
_x000D_
</t>
  </si>
  <si>
    <t xml:space="preserve">_x000D_
_x000D_
深圳市美泰材料科技股份有限公司（以下简称挂牌公司），_x000D_
_x000D_
住所地：广东省深圳市光明新区光明街道观光路 3009号招商局_x000D_
_x000D_
光明科技园 B6栋 3B。_x000D_
_x000D_
张平，男，1957年 3月出生，时任董事长。_x000D_
_x000D_
胡红安，男，1988年 1月出生，时任董事会秘书/时任信息_x000D_
_x000D_
披露负责人。_x000D_
_x000D_
</t>
  </si>
  <si>
    <t xml:space="preserve">_x000D_
_x000D_
河南希芳阁绿化工程股份有限公司（以下简称挂牌公司），_x000D_
_x000D_
住所地：河南省郑州市高新区长椿路 11号 Y6幢 1单元 1号。_x000D_
_x000D_
王洋洋，男，1983年 4月出生，时任董事长。_x000D_
_x000D_
任彦惠，女，1989 年 11 月出生，时任董事会秘书/时任信_x000D_
_x000D_
息披露负责人。_x000D_
_x000D_
</t>
  </si>
  <si>
    <t xml:space="preserve">_x000D_
_x000D_
北京忆江山园林科技股份有限公司（以下简称挂牌公司），_x000D_
_x000D_
住所地：北京市海淀区皂君庙路卉园大楼 C座 B06。_x000D_
_x000D_
张盛，男，1984年 12月出生，时任董事长。_x000D_
_x000D_
罗晓娇，女，1985年 2月出生，时任董事会秘书/时任信息_x000D_
_x000D_
披露负责人。_x000D_
_x000D_
</t>
  </si>
  <si>
    <t xml:space="preserve">_x000D_
_x000D_
辽宁通银沐源网络金融服务股份有限公司（以下简称挂牌_x000D_
_x000D_
公司），住所地：辽宁省沈阳市和平区太原北街 9号。_x000D_
_x000D_
倪躍洋，女，1969年 3月出生，时任董事长。_x000D_
_x000D_
丁敏，女，1988年 9月出生，时任董事会秘书/时任信息披_x000D_
_x000D_
露负责人。_x000D_
_x000D_
</t>
  </si>
  <si>
    <t xml:space="preserve">_x000D_
_x000D_
鲁冀管业科技股份有限公司（以下简称挂牌公司），住所地：_x000D_
_x000D_
黑龙江省大庆市红岗区铁人园区兴隆产业园。_x000D_
_x000D_
杨光，男，1983年 7月出生，时任董事长。_x000D_
_x000D_
邢艳艳，女，1989 年 11 月出生，时任董事会秘书/时任信_x000D_
_x000D_
息披露负责人。_x000D_
_x000D_
</t>
  </si>
  <si>
    <t xml:space="preserve">_x000D_
_x000D_
江苏金宏泰科技股份有限公司（以下简称挂牌公司），住所_x000D_
_x000D_
地：江苏省扬州市高邮市甘垛镇河口村。_x000D_
_x000D_
赖泳村，男，1966年 4月出生，时任董事长。_x000D_
_x000D_
张国桢，男，1963年 1月出生，时任董事会秘书/时任信息_x000D_
_x000D_
披露负责人。_x000D_
_x000D_
</t>
  </si>
  <si>
    <t xml:space="preserve">_x000D_
_x000D_
深圳市梧桐世界科技股份有限公司（以下简称挂牌公司），_x000D_
_x000D_
住所地：广东省深圳市龙华新区大浪街道龙峰三路锦华大厦 23_x000D_
_x000D_
层。_x000D_
_x000D_
杨洋，男，1988年 7月出生，时任董事长。_x000D_
_x000D_
杨凤，女，1979 年 10 月出生，时任董事会秘书/时任信息_x000D_
_x000D_
披露负责人。_x000D_
_x000D_
</t>
  </si>
  <si>
    <t xml:space="preserve">_x000D_
_x000D_
深圳市欣视景科技股份有限公司（以下简称挂牌公司），住_x000D_
_x000D_
所地：深圳市南山区桃源街道龙珠四路金谷创业园 C栋 4层。_x000D_
_x000D_
陈瑞，男，1970年 5月出生，时任董事长。_x000D_
_x000D_
郑少君，女，1988年 3月出生，时任董事会秘书/时任信息_x000D_
_x000D_
披露负责人。_x000D_
_x000D_
</t>
  </si>
  <si>
    <t xml:space="preserve">_x000D_
_x000D_
北京万众凯旋互联网科技股份有限公司（以下简称挂牌公_x000D_
_x000D_
司），住所地：北京市朝阳区酒仙桥东路 9 号院 2 号楼 101 内_x000D_
_x000D_
115室。_x000D_
_x000D_
刘亮，女，1983年 9月出生，时任董事长。_x000D_
_x000D_
雅静，女，1984年 3月出生，时任董事会秘书/时任信息披_x000D_
_x000D_
露负责人。_x000D_
_x000D_
</t>
  </si>
  <si>
    <t xml:space="preserve">_x000D_
_x000D_
辽宁报阅传媒股份有限公司（以下简称挂牌公司），住所地：_x000D_
_x000D_
辽宁省大连花园口经济区迎春街 6-2号楼 413室 1-9号。_x000D_
_x000D_
王镜东，男，1974年 5月出生，时任董事会秘书/时任信息_x000D_
_x000D_
披露负责人。_x000D_
_x000D_
</t>
  </si>
  <si>
    <t xml:space="preserve">_x000D_
_x000D_
安徽华盛科技控股股份有限公司（以下简称挂牌公司），住_x000D_
_x000D_
所地：安徽省天长市天扬路 666号。_x000D_
_x000D_
钱文鑫，男，1985年 5月出生，时任董事长。_x000D_
_x000D_
秦源，男，1989年 6月出生，时任董事会秘书/时任信息披_x000D_
_x000D_
露负责人。_x000D_
_x000D_
</t>
  </si>
  <si>
    <t xml:space="preserve">_x000D_
_x000D_
北京丰荣航空科技股份有限公司（以下简称挂牌公司），住_x000D_
_x000D_
所地：北京市顺义区南彩镇后俸伯村委会西侧 500米。_x000D_
_x000D_
韩铭，男，1969年 5月出生，时任董事长。_x000D_
_x000D_
张翔，男，1984年 1月出生，时任董事会秘书/时任信息披_x000D_
_x000D_
露负责人。_x000D_
_x000D_
</t>
  </si>
  <si>
    <t xml:space="preserve">_x000D_
_x000D_
黑龙江省发现者机器人股份有限公司（以下简称挂牌公司），_x000D_
_x000D_
住所地：黑龙江省大庆市高新区高端装备制造园 A12C。_x000D_
_x000D_
葛文化，男，1967年 4月出生，时任董事长。_x000D_
_x000D_
李辉，女，1978年 1月出生，时任董事会秘书/时任信息披_x000D_
_x000D_
露负责人。_x000D_
_x000D_
</t>
  </si>
  <si>
    <t xml:space="preserve">_x000D_
_x000D_
凯美家用品(青岛)股份有限公司（以下简称挂牌公司），住_x000D_
_x000D_
所地：山东省青岛即墨市青岛环保产业园。_x000D_
_x000D_
李逢友，男，1974年 6月出生，时任董事长。_x000D_
_x000D_
王国庆，男，1968年 9月出生，时任董事会秘书/时任信息_x000D_
_x000D_
披露负责人。_x000D_
_x000D_
</t>
  </si>
  <si>
    <t xml:space="preserve">_x000D_
_x000D_
贵州森瑞新材料股份有限公司（以下简称挂牌公司），住所_x000D_
_x000D_
地：贵州省贵阳市乌当经济技术开发区。_x000D_
_x000D_
钟海，男，1973年 6月出生，时任董事长。_x000D_
_x000D_
饶静，女，1979年 4月出生，时任董事会秘书/时任信息披_x000D_
_x000D_
露负责人。_x000D_
_x000D_
</t>
  </si>
  <si>
    <t xml:space="preserve">_x000D_
_x000D_
广州知鸿国际旅行社股份有限公司（以下简称挂牌公司），_x000D_
_x000D_
住所地：广州市越秀区东风东路 733号（2）号自编 4楼 07房。_x000D_
_x000D_
谢浩宇，男，1985年 4月出生，时任董事长。_x000D_
_x000D_
苏玮，男，1985 年 10 月出生，时任董事会秘书/时任信息_x000D_
_x000D_
披露负责人。_x000D_
_x000D_
</t>
  </si>
  <si>
    <t xml:space="preserve">_x000D_
_x000D_
宁波保税区正正电子商务股份有限公司（以下简称挂牌公_x000D_
_x000D_
司），住所地：浙江省宁波市保税区港东大道 5 号 4 楼 411 室。_x000D_
_x000D_
姚正正，女，1967年 2月出生，时任董事长。_x000D_
_x000D_
李娜，女，1982年 3月出生，时任董事会秘书/时任信息披_x000D_
_x000D_
露负责人。_x000D_
_x000D_
</t>
  </si>
  <si>
    <t xml:space="preserve">_x000D_
_x000D_
郑州开普勒测控技术股份有限公司（以下简称挂牌公司），_x000D_
_x000D_
住所地：河南省郑州市高新区冬青街 26号 7号楼 3层 11号。_x000D_
_x000D_
袁自刚，男，1982年 10月出生，时任董事长。_x000D_
_x000D_
白昆，男，1970年 7月出生，时任董事会秘书/时任信息披_x000D_
_x000D_
露负责人。_x000D_
_x000D_
</t>
  </si>
  <si>
    <t xml:space="preserve">_x000D_
_x000D_
重庆五洋通信股份有限公司（以下简称挂牌公司），住所地：_x000D_
_x000D_
重庆市潼南区梓潼街道办事处金潼大道 119 号（健能绿都 1 号_x000D_
_x000D_
楼 2层 7号附 2号）。_x000D_
_x000D_
刘治勇，男，1966年 3月出生，时任董事长。_x000D_
_x000D_
王玲，女，1975年 2月出生，时任董事会秘书/时任信息披_x000D_
_x000D_
露负责人。_x000D_
_x000D_
</t>
  </si>
  <si>
    <t xml:space="preserve">_x000D_
_x000D_
贵州南源电力科技股份有限公司（以下简称挂牌公司），住_x000D_
_x000D_
所地：贵州省贵阳市贵阳国家高新技术产业开发区金阳科技产_x000D_
_x000D_
业园创业大厦 683室。_x000D_
_x000D_
罗飞，男，1964年 12月出生，时任董事长。_x000D_
_x000D_
李霞，女，1968年 2月出生，时任董事会秘书/时任信息披_x000D_
_x000D_
露负责人。_x000D_
_x000D_
</t>
  </si>
  <si>
    <t xml:space="preserve">_x000D_
_x000D_
天津皇冠幕墙装饰股份有限公司（以下简称挂牌公司），住_x000D_
_x000D_
所地：天津市武清区大东公路（东马圈镇段）13号。_x000D_
_x000D_
黄海龙，男，1962年 12月出生，时任董事长。_x000D_
_x000D_
黄霁平，女，1988年 9月出生，时任董事会秘书/时任信息_x000D_
_x000D_
披露负责人。_x000D_
_x000D_
</t>
  </si>
  <si>
    <t xml:space="preserve">_x000D_
_x000D_
深圳汉鼎绿能股份有限公司（以下简称挂牌公司），住所地：_x000D_
_x000D_
深圳市坪山新区坑梓办事处龙田社区莹展工业园 B4C 栋厂房。_x000D_
_x000D_
谢芬芬，女，1973年 12月出生，时任董事长。_x000D_
_x000D_
赖非，男，1970年 5月出生，时任董事会秘书/时任信息披_x000D_
_x000D_
露负责人。_x000D_
_x000D_
</t>
  </si>
  <si>
    <t xml:space="preserve">_x000D_
_x000D_
福建博渊堂传媒股份有限公司（以下简称挂牌公司），住所_x000D_
_x000D_
地：福建省福州市平潭综合实验区金井湾商务营运中心 4 号楼_x000D_
_x000D_
11层。_x000D_
_x000D_
吴文渊，男，1982年 7月出生，时任董事长。_x000D_
_x000D_
翁建淋，男，1981年 3月出生，时任董事会秘书/时任信息_x000D_
_x000D_
披露负责人。_x000D_
_x000D_
</t>
  </si>
  <si>
    <t xml:space="preserve">_x000D_
_x000D_
江苏宝田新型材料科技股份有限公司（以下简称挂牌公司），_x000D_
_x000D_
住所地：江苏张家港市乐余镇临江绿色产业园长江路 1号。_x000D_
_x000D_
蒋云，男，1970年 4月出生，时任董事长。_x000D_
_x000D_
瞿斌，男，1986 年 12 月出生，时任董事会秘书/时任信息_x000D_
_x000D_
披露负责人。_x000D_
_x000D_
</t>
  </si>
  <si>
    <t xml:space="preserve">_x000D_
_x000D_
西安东风机电股份有限公司（以下简称挂牌公司），住所地：_x000D_
_x000D_
陕西省西安市高新区丈八五路 43号高科尚都 ONE尚城 14层。_x000D_
_x000D_
任卫东，男，1966年 12月出生，时任董事长。_x000D_
_x000D_
折斌斌，男，1986 年 11 月出生，时任董事会秘书/时任信_x000D_
_x000D_
息披露负责人。_x000D_
_x000D_
</t>
  </si>
  <si>
    <t xml:space="preserve">_x000D_
_x000D_
天津三绅品牌文化传播股份有限公司（以下简称挂牌公司），_x000D_
_x000D_
住所地：天津市和平区台儿庄路 6,7号（原 9号）206。_x000D_
_x000D_
刘庚，男，1970年 9月出生，时任董事长。_x000D_
_x000D_
韩峰，男，1978年 9月出生，时任董事会秘书/时任信息披_x000D_
_x000D_
露负责人。_x000D_
_x000D_
</t>
  </si>
  <si>
    <t xml:space="preserve">_x000D_
_x000D_
深圳市川马电子股份有限公司（以下简称挂牌公司），住所_x000D_
_x000D_
地：广东省深圳市宝安区 44区顺丰路德安电商基地 226室。_x000D_
_x000D_
黄永兵，男，1968年 6月出生，时任董事长。_x000D_
_x000D_
陈绍英，女，1968年 9月出生，时任董事会秘书/时任信息_x000D_
_x000D_
披露负责人。_x000D_
_x000D_
</t>
  </si>
  <si>
    <t xml:space="preserve">_x000D_
_x000D_
北京飞扬天下网络科技股份有限公司（以下简称挂牌公司），_x000D_
_x000D_
住所地：北京市石景山区石景山路 22号万商大厦二十一层。_x000D_
_x000D_
崔凯，男，1981年 8月出生，时任董事长。_x000D_
_x000D_
冷公民，男，1979年 9月出生，时任董事会秘书/时任信息_x000D_
_x000D_
披露负责人。_x000D_
_x000D_
</t>
  </si>
  <si>
    <t xml:space="preserve">_x000D_
_x000D_
浙江博通影音科技股份有限公司（以下简称挂牌公司），住_x000D_
_x000D_
所地：浙江省杭州市滨江区西兴街道阡陌路 482号B楼第 9层。_x000D_
_x000D_
史晶月，女，1983年 1月出生，时任董事长。_x000D_
_x000D_
张怡，男，1987 年 10 月出生，时任董事会秘书/时任信息_x000D_
_x000D_
披露负责人。_x000D_
_x000D_
</t>
  </si>
  <si>
    <t xml:space="preserve">_x000D_
_x000D_
江苏德威兰医疗器械股份有限公司（以下简称挂牌公司），_x000D_
_x000D_
住所地：江苏省泰州市中国医药城口泰路东侧、新阳路北侧（G34）_x000D_
_x000D_
车间区第一层至第四层。_x000D_
_x000D_
周啸，男，1971年 9月出生，时任董事长。_x000D_
_x000D_
郅惠，女，1984年 5月出生，时任董事会秘书/时任信息披_x000D_
_x000D_
露负责人。_x000D_
_x000D_
</t>
  </si>
  <si>
    <t xml:space="preserve">_x000D_
_x000D_
深圳恒安兴智联生活科技集团股份有限公司（以下简称挂_x000D_
_x000D_
牌公司），住所地：深圳市龙岗区南湾街道办下李朗平吉大道 2_x000D_
_x000D_
号。_x000D_
_x000D_
陈森豪，男，1966年 2月出生，时任董事长。_x000D_
_x000D_
陈佩霞，女，1971年 7月出生，时任董事会秘书/时任信息_x000D_
_x000D_
披露负责人。_x000D_
_x000D_
</t>
  </si>
  <si>
    <t xml:space="preserve">_x000D_
_x000D_
北京土星在线教育科技股份有限公司（以下简称挂牌公司），_x000D_
_x000D_
住所地：北京市朝阳区朝外大街26号朝外MEN大厦A2005室。_x000D_
_x000D_
武庄，男，1970年 1月出生，时任董事长。_x000D_
_x000D_
李杰，男，1988 年 10 月出生，时任董事会秘书/时任信息_x000D_
_x000D_
披露负责人。_x000D_
_x000D_
</t>
  </si>
  <si>
    <t xml:space="preserve">_x000D_
_x000D_
常州宏賸科技股份有限公司（以下简称挂牌公司），住所地：_x000D_
_x000D_
江苏省常州市新北区三井工业园太湖路。_x000D_
_x000D_
吴向红，男，1961年 2月出生，时任董事长。_x000D_
_x000D_
汤小剑，男，1978年 9月出生，时任董事会秘书/时任信息_x000D_
_x000D_
披露负责人。_x000D_
_x000D_
</t>
  </si>
  <si>
    <t xml:space="preserve">_x000D_
_x000D_
广东骏汇汽车科技股份有限公司（以下简称挂牌公司），住_x000D_
_x000D_
所地：广东省广州市番禺区石楼镇金荷二路 7 号自编（A 座四_x000D_
_x000D_
层）。_x000D_
_x000D_
谢晋斌，男，1970年 11月出生，时任董事长。_x000D_
_x000D_
李超红，男，1985年 6月出生，时任董事会秘书/时任信息_x000D_
_x000D_
披露负责人。_x000D_
_x000D_
</t>
  </si>
  <si>
    <t xml:space="preserve">_x000D_
_x000D_
嘉源网络股份有限公司（以下简称挂牌公司），住所地：西_x000D_
_x000D_
藏自治区拉萨市柳梧新区国际总部城 4号楼 4层东侧。_x000D_
_x000D_
向荣华，男，1980年 2月出生，时任董事长。_x000D_
_x000D_
聂晨阳，男，1977年 2月出生，时任董事会秘书/时任信息_x000D_
_x000D_
披露负责人。_x000D_
_x000D_
</t>
  </si>
  <si>
    <t xml:space="preserve">_x000D_
_x000D_
福州驿动在线传媒股份有限公司（以下简称挂牌公司），住_x000D_
_x000D_
所地：福建省福州市晋安区王庄街道讲堂路 2 号福晟钱隆大第_x000D_
_x000D_
9#楼 10层 17-19单元。_x000D_
_x000D_
赵彦祥，男，1982年 2月出生，时任董事长。_x000D_
_x000D_
柳林，女，1981 年 10 月出生，时任董事会秘书/时任信息_x000D_
_x000D_
披露负责人。_x000D_
_x000D_
</t>
  </si>
  <si>
    <t xml:space="preserve">_x000D_
_x000D_
广州盈光科技股份有限公司（以下简称挂牌公司），住所地：_x000D_
_x000D_
广东省广州市高新技术产业开发区彩频路 9号 1102B。_x000D_
_x000D_
徐雄，男，1966年 4月出生，时任董事长。_x000D_
_x000D_
徐小芳，女，1981 年 10 月出生，时任董事会秘书/时任信_x000D_
_x000D_
息披露负责人。_x000D_
_x000D_
</t>
  </si>
  <si>
    <t xml:space="preserve">_x000D_
_x000D_
山东银维科技股份有限公司（以下简称挂牌公司），住所地：_x000D_
_x000D_
山东省济南市历城区工业北路与奥体中路交叉口东都国际 4 号_x000D_
_x000D_
楼 2401室。_x000D_
_x000D_
杨政，男，1970年 7月出生，时任董事长。_x000D_
_x000D_
刘秀柱，男，1985年 9月出生，时任董事会秘书/时任信息_x000D_
_x000D_
披露负责人。_x000D_
_x000D_
</t>
  </si>
  <si>
    <t xml:space="preserve">_x000D_
_x000D_
山东三田电子科技股份有限公司（以下简称挂牌公司），住_x000D_
_x000D_
所地：山东省潍坊市高新区银枫路 66号 1#、2#厂房。_x000D_
_x000D_
赵来森，男，1979年 1月出生，时任董事长。_x000D_
_x000D_
王志涛，男，1988年 6月出生，时任董事会秘书/时任信息_x000D_
_x000D_
披露负责人。_x000D_
_x000D_
</t>
  </si>
  <si>
    <t xml:space="preserve">_x000D_
_x000D_
北京凯英信业科技股份有限公司（以下简称挂牌公司），住_x000D_
_x000D_
所地：北京市海淀区学院路 30 号科大天工大厦 B 座 18 层 06-_x000D_
_x000D_
15室。_x000D_
_x000D_
贾立东，男，1967年 11月出生，时任董事长。_x000D_
_x000D_
刘奕君，女，1987年 5月出生，时任董事会秘书/时任信息_x000D_
_x000D_
披露负责人。_x000D_
_x000D_
</t>
  </si>
  <si>
    <t xml:space="preserve">_x000D_
_x000D_
杭州全维技术股份有限公司（以下简称挂牌公司），住所地：_x000D_
_x000D_
浙江省杭州市西湖区西斗门路 3 号（天堂软件园）D 幢 8 层 B_x000D_
_x000D_
座。_x000D_
_x000D_
朱建武，男，1974年 7月出生，时任董事长。_x000D_
_x000D_
陈烁，女，1991年 6月出生，时任董事会秘书/时任信息披_x000D_
_x000D_
露负责人。_x000D_
_x000D_
</t>
  </si>
  <si>
    <t xml:space="preserve">_x000D_
_x000D_
辽宁天佐羊绒纺织股份有限公司（以下简称挂牌公司），住_x000D_
_x000D_
所地：辽宁省阜新市高新区华东街 18号。_x000D_
_x000D_
朱力，男，1960年 2月出生，时任董事长。_x000D_
_x000D_
刘雅红，女，1970年 4月出生，时任董事会秘书/时任信息_x000D_
_x000D_
披露负责人。_x000D_
_x000D_
</t>
  </si>
  <si>
    <t xml:space="preserve">_x000D_
_x000D_
浙江新复大海洋生物科技股份有限公司（以下简称挂牌公_x000D_
_x000D_
司），住所地：浙江省台州市温岭市石塘镇上马工业区。_x000D_
_x000D_
郏晨光，男，1966年 4月出生，时任董事长。_x000D_
_x000D_
姜郑鹏，男，1967年 6月出生，时任董事会秘书/时任信息_x000D_
_x000D_
披露负责人。_x000D_
_x000D_
</t>
  </si>
  <si>
    <t xml:space="preserve">_x000D_
_x000D_
北京星原丰泰电子技术股份有限公司（以下简称挂牌公司），_x000D_
_x000D_
住所地：北京市昌平区昌平路 97号新元科技园 7幢 205室。_x000D_
_x000D_
刘德斌，男，1972年 9月出生，时任董事长。_x000D_
_x000D_
陈北川，女，1972 年 10 月出生，时任董事会秘书/时任信_x000D_
_x000D_
息披露负责人。_x000D_
_x000D_
</t>
  </si>
  <si>
    <t xml:space="preserve">_x000D_
_x000D_
厦门冠宇科技股份有限公司（以下简称挂牌公司），住所地：_x000D_
_x000D_
福建省厦门市海沧区惠佐路 168号厂房一号楼 1楼南侧。_x000D_
_x000D_
魏毅，男，1964年 8月出生，时任董事长。_x000D_
_x000D_
黄仕玉，男，1976年 3月出生，时任董事会秘书/时任信息_x000D_
_x000D_
披露负责人。_x000D_
_x000D_
</t>
  </si>
  <si>
    <t xml:space="preserve">_x000D_
_x000D_
哈尔滨世纪祥云清洁能源股份有限公司（以下简称挂牌公_x000D_
_x000D_
司），住所地：黑龙江省哈尔滨市道里区达江小区 8栋 6单元 5_x000D_
_x000D_
层 3号。_x000D_
_x000D_
尹欣，男，1980年 3月出生，时任董事长。_x000D_
_x000D_
孙明，男，1982年 4月出生，时任董事会秘书/时任信息披_x000D_
_x000D_
露负责人。_x000D_
_x000D_
</t>
  </si>
  <si>
    <t xml:space="preserve">_x000D_
_x000D_
江苏连连化学股份有限公司（以下简称挂牌公司），住所地：_x000D_
_x000D_
江苏省连云港市灌云县临港产业区纬七路南。_x000D_
_x000D_
连加松，男，1956年 8月出生，时任董事长。_x000D_
_x000D_
颜正军，男，1972年 1月出生，时任董事会秘书/时任信息_x000D_
_x000D_
披露负责人。_x000D_
_x000D_
</t>
  </si>
  <si>
    <t xml:space="preserve">_x000D_
_x000D_
厦门源利达环保科技股份有限公司（以下简称挂牌公司），_x000D_
_x000D_
住所地：福建省厦门市同安区洪塘镇洪塘路 168号。_x000D_
_x000D_
洪友景，男，1962年 9月出生，时任董事长。_x000D_
_x000D_
洪小勤，女，1985年 7月出生，时任董事会秘书/时任信息_x000D_
_x000D_
披露负责人。_x000D_
_x000D_
</t>
  </si>
  <si>
    <t xml:space="preserve">_x000D_
_x000D_
山东汇锋传动股份有限公司（以下简称挂牌公司），住所地：_x000D_
_x000D_
山东省莱芜市钢城区颜庄镇颜庄村。_x000D_
_x000D_
任启华，男，1964年 12月出生，时任董事长。_x000D_
_x000D_
李政旭，男，1983 年 10 月出生，时任董事会秘书/时任信_x000D_
_x000D_
息披露负责人。_x000D_
_x000D_
</t>
  </si>
  <si>
    <t xml:space="preserve">_x000D_
_x000D_
西安未来国际信息股份有限公司（以下简称挂牌公司），住_x000D_
_x000D_
所地：陕西省西安市高新区茶张路 1号 1幢 1单元 11801室。_x000D_
_x000D_
王茜，女，1966年 5月出生，时任董事长。_x000D_
_x000D_
袁鹏，男，1974年 1月出生，时任董事会秘书/时任信息披_x000D_
_x000D_
露负责人。_x000D_
_x000D_
</t>
  </si>
  <si>
    <t xml:space="preserve">_x000D_
_x000D_
天津唐邦科技股份有限公司（以下简称挂牌公司），住所地：_x000D_
_x000D_
天津华苑产业区海泰绿色产业基地M3-一层。_x000D_
_x000D_
侯延杰，男，1970年 12月出生，时任董事长。_x000D_
_x000D_
李文敏，女，1975年 9月出生，时任董事会秘书/时任信息_x000D_
_x000D_
披露负责人。_x000D_
_x000D_
</t>
  </si>
  <si>
    <t xml:space="preserve">_x000D_
_x000D_
北京宣爱智能模拟技术股份有限公司（以下简称挂牌公司），_x000D_
_x000D_
住所地：北京市海淀区上地信息产业基地三街 1号楼 2层 C段_x000D_
_x000D_
221。_x000D_
_x000D_
于晓辉，男，1961年 1月出生，时任董事长。_x000D_
_x000D_
刘仕化，女，1979 年 11 月出生，时任董事会秘书/时任信_x000D_
_x000D_
息披露负责人。_x000D_
_x000D_
</t>
  </si>
  <si>
    <t xml:space="preserve">_x000D_
_x000D_
昆明兴海绿化股份有限公司（以下简称挂牌公司），住所地：_x000D_
_x000D_
云南省昆明市滇池度假区广福路中天融域二期 24幢二单元 401、_x000D_
_x000D_
406号。_x000D_
_x000D_
施俊，女，1974年 6月出生，时任董事长。_x000D_
_x000D_
李云鹏，男，1989年 6月出生，时任董事会秘书/时任信息_x000D_
_x000D_
披露负责人。_x000D_
_x000D_
</t>
  </si>
  <si>
    <t xml:space="preserve">_x000D_
_x000D_
广州汇量网络科技股份有限公司（以下简称挂牌公司），住_x000D_
_x000D_
所地：广东省广州市天河区兴民路 222号之三 4401房。_x000D_
_x000D_
段威，男，1986年 1月出生，时任董事长。_x000D_
_x000D_
钱程，男，1982 年 12 月出生，时任董事会秘书/时任信息_x000D_
_x000D_
披露负责人。_x000D_
_x000D_
</t>
  </si>
  <si>
    <t xml:space="preserve">_x000D_
_x000D_
东莞市佛尔盛智能机电股份有限公司（以下简称挂牌公司），_x000D_
_x000D_
住所地：广东省东莞市南城区三元里彭峒工业区第一幢第一层。_x000D_
_x000D_
胡文华，女，1980年 11月出生，时任董事长。_x000D_
_x000D_
布智鹏，男，1987 年 12 月出生，时任董事会秘书/时任信_x000D_
_x000D_
息披露负责人。_x000D_
_x000D_
</t>
  </si>
  <si>
    <t xml:space="preserve">_x000D_
_x000D_
北京艾森博航空科技股份有限公司（以下简称挂牌公司），_x000D_
_x000D_
住所地：北京市海淀区学院路 35号世宁大厦九层 903号。_x000D_
_x000D_
伏浩，男，1977年 2月出生，时任董事长。_x000D_
_x000D_
杜文艳，女，1976年 5月出生，时任董事会秘书/时任信息_x000D_
_x000D_
披露负责人。_x000D_
_x000D_
</t>
  </si>
  <si>
    <t xml:space="preserve">_x000D_
_x000D_
派芬自控(上海)股份有限公司（以下简称挂牌公司），住所_x000D_
_x000D_
地：上海市杨浦区国定路 323号 702-60室。_x000D_
_x000D_
孙继超，男，1976年 11月出生，时任董事长。_x000D_
_x000D_
杨旭，女，1975年 2月出生，时任董事会秘书/时任信息披_x000D_
_x000D_
露负责人。_x000D_
_x000D_
</t>
  </si>
  <si>
    <t xml:space="preserve">_x000D_
_x000D_
多彩贵州文化艺术股份有限公司（以下简称挂牌公司），住_x000D_
_x000D_
所地：贵州省贵阳市云岩区北京路 9 号贵阳医学院学术交流中_x000D_
_x000D_
心大楼 13楼 B。_x000D_
_x000D_
毛剑青，女，1970年 11月出生，时任董事长。_x000D_
_x000D_
苏晓梅，女，1981年 9月出生，时任董事会秘书/时任信息_x000D_
_x000D_
披露负责人。_x000D_
_x000D_
</t>
  </si>
  <si>
    <t xml:space="preserve">_x000D_
_x000D_
天参密码科技股份有限公司（以下简称挂牌公司），住所地：_x000D_
_x000D_
山东省威海临港经济技术开发区台北路 58号。_x000D_
_x000D_
高晖富，男，1973年 5月出生，时任董事长。_x000D_
_x000D_
刘敏玲，女，1972年 8月出生，时任董事会秘书/时任信息_x000D_
_x000D_
披露负责人。_x000D_
_x000D_
</t>
  </si>
  <si>
    <t xml:space="preserve">_x000D_
_x000D_
韵盛发科技（北京）股份有限公司（以下简称挂牌公司），_x000D_
_x000D_
住所地：北京市朝阳区北沙滩甲 1号 1号楼 6层 708室。_x000D_
_x000D_
杨卫忠，男，1969年 3月出生，时任董事长。_x000D_
_x000D_
周静，女，1983 年 10 月出生，时任董事会秘书/时任信息_x000D_
_x000D_
披露负责人。_x000D_
_x000D_
</t>
  </si>
  <si>
    <t xml:space="preserve">_x000D_
_x000D_
山东鲁华龙心生物科技股份有限公司（以下简称挂牌公司），_x000D_
_x000D_
住所地：山东省济宁市高新区英萃路东、火炬工业园南侧。_x000D_
_x000D_
梁会亮，男，1972年 9月出生，时任董事长。_x000D_
_x000D_
王玉英，女，1975 年 11 月出生，时任董事会秘书/时任信_x000D_
_x000D_
息披露负责人。_x000D_
_x000D_
</t>
  </si>
  <si>
    <t xml:space="preserve">_x000D_
_x000D_
深圳市众鼎商学院在线科技股份有限公司（以下简称挂牌_x000D_
_x000D_
公司），住所地：广东省深圳市龙岗区龙岗街道办深汕路 6号粤_x000D_
_x000D_
长辉大厦 11层。_x000D_
_x000D_
薛国顺，男，1975年 11月出生，时任董事长。_x000D_
_x000D_
查慎，男，1972年 3月出生，时任董事会秘书/时任信息披_x000D_
_x000D_
露负责人。_x000D_
_x000D_
</t>
  </si>
  <si>
    <t xml:space="preserve">_x000D_
_x000D_
上海欧泰科智能科技股份有限公司（以下简称挂牌公司），_x000D_
_x000D_
住所地：上海市浦东新区秀浦路 2388号 3栋 1701室。_x000D_
_x000D_
尹智勇，男，1966年 10月出生，时任董事长。_x000D_
_x000D_
纪丹，女，1982年 5月出生，时任董事会秘书/时任信息披_x000D_
_x000D_
露负责人。_x000D_
_x000D_
</t>
  </si>
  <si>
    <t xml:space="preserve">_x000D_
_x000D_
浙江爱丽莎环保科技股份有限公司（以下简称挂牌公司），_x000D_
_x000D_
住所地：浙江省常山县工业区。_x000D_
_x000D_
梁仙华，男，1964年 6月出生，时任董事长。_x000D_
_x000D_
梁华平，男，1968 年 12 月出生，时任董事会秘书/时任信_x000D_
_x000D_
息披露负责人。_x000D_
_x000D_
</t>
  </si>
  <si>
    <t xml:space="preserve">_x000D_
_x000D_
浙江华电智能电站设备股份有限公司（以下简称挂牌公司），_x000D_
_x000D_
住所地：浙江省建德市三都镇工业功能区。_x000D_
_x000D_
胡江明，男，1974年 9月出生，时任董事长。_x000D_
_x000D_
王爱新，女，1979 年 11 月出生，时任董事会秘书/时任信_x000D_
_x000D_
息披露负责人。_x000D_
_x000D_
</t>
  </si>
  <si>
    <t xml:space="preserve">_x000D_
_x000D_
芜湖科阳新材料股份有限公司（以下简称挂牌公司），住所_x000D_
_x000D_
地：安徽省芜湖市三山区绿色食品工业园 8#厂房。_x000D_
_x000D_
胡莉萍，女，1968年 8月出生，时任董事长。_x000D_
_x000D_
龚盛，男，1977 年 12 月出生，时任董事会秘书/时任信息_x000D_
_x000D_
披露负责人。_x000D_
_x000D_
</t>
  </si>
  <si>
    <t xml:space="preserve">_x000D_
_x000D_
辽宁同益物流股份有限公司（以下简称挂牌公司），住所地：_x000D_
_x000D_
辽宁省抚顺市东洲区浑河南路（东段）4-3号。_x000D_
_x000D_
宋铁铭，男，1970年 6月出生，时任董事长。_x000D_
_x000D_
王培辉，男，1970年 4月出生，时任董事会秘书/时任信息_x000D_
_x000D_
披露负责人。_x000D_
_x000D_
</t>
  </si>
  <si>
    <t xml:space="preserve">_x000D_
_x000D_
无锡市太湖湖泊治理股份有限公司（以下简称挂牌公司），_x000D_
_x000D_
住所地：江苏省无锡市惠山经济开发区前洲配套区宝露路。_x000D_
_x000D_
黄晓峰，男，1978年 11月出生，时任董事长。_x000D_
_x000D_
钱洁，女，1992 年 10 月出生，时任董事会秘书/时任信息_x000D_
_x000D_
披露负责人。_x000D_
_x000D_
</t>
  </si>
  <si>
    <t xml:space="preserve">_x000D_
_x000D_
哈尔滨宝德生物技术股份有限公司（以下简称挂牌公司），_x000D_
_x000D_
住所地：黑龙江省哈尔滨市木兰现代农业园区。_x000D_
_x000D_
孟辉，男，1970年 3月出生，时任董事长。_x000D_
_x000D_
张晓宇，女，1990年 9月出生，时任董事会秘书/时任信息_x000D_
_x000D_
披露负责人。_x000D_
_x000D_
</t>
  </si>
  <si>
    <t xml:space="preserve">_x000D_
_x000D_
江苏金瀚科技股份有限公司（以下简称挂牌公司），住所地：_x000D_
_x000D_
东台市溱东镇不锈钢产业园区。_x000D_
_x000D_
宗玉杰，女，1980年 5月出生，时任董事长。_x000D_
_x000D_
肖波，女，1976年 9月出生，时任董事会秘书/时任信息披_x000D_
_x000D_
露负责人。_x000D_
_x000D_
</t>
  </si>
  <si>
    <t xml:space="preserve">_x000D_
_x000D_
北京北亚时代科技股份有限公司（以下简称挂牌公司），住_x000D_
_x000D_
所地：北京市顺义区赵全营镇兆丰产业基地园盈路 7号。_x000D_
_x000D_
魏明，男，1978年 6月出生，时任董事长。_x000D_
_x000D_
马敏，女，1990年 5月出生，时任董事会秘书/时任信息披_x000D_
_x000D_
露负责人。_x000D_
_x000D_
</t>
  </si>
  <si>
    <t xml:space="preserve">_x000D_
_x000D_
河南雪阳坯衫股份有限公司（以下简称挂牌公司），住所地：_x000D_
_x000D_
河南省邓州市三贤路 102号。_x000D_
_x000D_
刘志远，男，1991年 12月出生，时任董事长。_x000D_
_x000D_
郭静，女，1990年 1月出生，时任董事会秘书/时任信息披_x000D_
_x000D_
露负责人。_x000D_
_x000D_
</t>
  </si>
  <si>
    <t xml:space="preserve">_x000D_
_x000D_
北京爱尚文化传媒股份有限公司（以下简称挂牌公司），住_x000D_
_x000D_
所地：北京市朝阳区高井文化园路 8 号东亿国际传媒产业园区_x000D_
_x000D_
三期 C座 501。_x000D_
_x000D_
戴炎成，男，1984年 10月出生，时任董事长。_x000D_
_x000D_
尹振敬，女，1977 年 11 月出生，时任董事会秘书/时任信_x000D_
_x000D_
息披露负责人。_x000D_
_x000D_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</si>
</sst>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b/>
      <sz val="20"/>
      <color theme="1"/>
      <name val="微软雅黑"/>
      <family val="2"/>
      <charset val="134"/>
    </font>
    <font>
      <sz val="14"/>
      <color theme="1"/>
      <name val="微软雅黑"/>
      <family val="2"/>
      <charset val="134"/>
    </font>
    <font>
      <sz val="14"/>
      <color rgb="FFFF0000"/>
      <name val="微软雅黑"/>
      <family val="2"/>
      <charset val="134"/>
    </font>
    <font>
      <sz val="11"/>
      <color theme="1"/>
      <name val="微软雅黑"/>
      <family val="2"/>
      <charset val="134"/>
    </font>
    <font>
      <sz val="9"/>
      <color theme="1"/>
      <name val="微软雅黑"/>
      <family val="2"/>
      <charset val="134"/>
    </font>
    <font>
      <b/>
      <sz val="18"/>
      <color theme="1"/>
      <name val="微软雅黑"/>
      <family val="2"/>
      <charset val="134"/>
    </font>
    <font>
      <b/>
      <sz val="11"/>
      <color theme="1"/>
      <name val="宋体"/>
      <family val="3"/>
      <charset val="134"/>
      <scheme val="minor"/>
    </font>
    <font>
      <sz val="11"/>
      <color theme="5"/>
      <name val="宋体"/>
      <family val="2"/>
      <charset val="134"/>
      <scheme val="minor"/>
    </font>
    <font>
      <b/>
      <sz val="16"/>
      <color theme="1"/>
      <name val="宋体"/>
      <family val="3"/>
      <charset val="134"/>
      <scheme val="minor"/>
    </font>
    <font>
      <b/>
      <i/>
      <sz val="16"/>
      <color theme="1"/>
      <name val="宋体"/>
      <family val="3"/>
      <charset val="134"/>
      <scheme val="minor"/>
    </font>
    <font>
      <b/>
      <i/>
      <sz val="11"/>
      <color theme="1"/>
      <name val="宋体"/>
      <family val="3"/>
      <charset val="134"/>
      <scheme val="minor"/>
    </font>
  </fonts>
  <fills count="9">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249977111117893"/>
        <bgColor indexed="64"/>
      </patternFill>
    </fill>
    <fill>
      <patternFill patternType="solid">
        <fgColor theme="8" tint="0.89999084444715716"/>
        <bgColor indexed="64"/>
      </patternFill>
    </fill>
    <fill>
      <patternFill patternType="solid">
        <fgColor theme="9" tint="0.79998168889431442"/>
        <bgColor indexed="64"/>
      </patternFill>
    </fill>
    <fill>
      <patternFill patternType="solid">
        <fgColor theme="2" tint="-9.9978637043366805E-2"/>
        <bgColor indexed="64"/>
      </patternFill>
    </fill>
  </fills>
  <borders count="5">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right/>
      <top/>
      <bottom style="medium">
        <color indexed="64"/>
      </bottom>
      <diagonal/>
    </border>
  </borders>
  <cellStyleXfs count="1">
    <xf numFmtId="0" fontId="0" fillId="0" borderId="0">
      <alignment vertical="center"/>
    </xf>
  </cellStyleXfs>
  <cellXfs count="30">
    <xf numFmtId="0" fontId="0" fillId="0" borderId="0" xfId="0">
      <alignment vertical="center"/>
    </xf>
    <xf numFmtId="0" fontId="0" fillId="0" borderId="0" xfId="0" applyBorder="1">
      <alignment vertical="center"/>
    </xf>
    <xf numFmtId="0" fontId="5" fillId="0" borderId="0" xfId="0" applyFont="1">
      <alignment vertical="center"/>
    </xf>
    <xf numFmtId="0" fontId="6" fillId="0" borderId="1" xfId="0" applyFont="1" applyBorder="1" applyAlignment="1">
      <alignment horizontal="justify" vertical="center"/>
    </xf>
    <xf numFmtId="0" fontId="6" fillId="0" borderId="2" xfId="0" applyFont="1" applyBorder="1" applyAlignment="1">
      <alignment horizontal="justify" vertical="center"/>
    </xf>
    <xf numFmtId="0" fontId="6" fillId="0" borderId="3" xfId="0" applyFont="1" applyBorder="1" applyAlignment="1">
      <alignment horizontal="justify" vertical="center"/>
    </xf>
    <xf numFmtId="0" fontId="6" fillId="0" borderId="0" xfId="0" applyFont="1">
      <alignment vertical="center"/>
    </xf>
    <xf numFmtId="0" fontId="2" fillId="2" borderId="0" xfId="0" applyFont="1" applyFill="1" applyBorder="1">
      <alignment vertical="center"/>
    </xf>
    <xf numFmtId="0" fontId="3" fillId="2" borderId="0" xfId="0" applyFont="1" applyFill="1" applyBorder="1" applyAlignment="1">
      <alignment vertical="center" wrapText="1"/>
    </xf>
    <xf numFmtId="0" fontId="2" fillId="3" borderId="0" xfId="0" applyFont="1" applyFill="1" applyBorder="1">
      <alignment vertical="center"/>
    </xf>
    <xf numFmtId="0" fontId="3" fillId="3" borderId="0" xfId="0" applyFont="1" applyFill="1" applyBorder="1" applyAlignment="1">
      <alignment vertical="center" wrapText="1"/>
    </xf>
    <xf numFmtId="0" fontId="2" fillId="4" borderId="0" xfId="0" applyFont="1" applyFill="1" applyBorder="1">
      <alignment vertical="center"/>
    </xf>
    <xf numFmtId="0" fontId="3" fillId="4" borderId="0" xfId="0" applyFont="1" applyFill="1" applyBorder="1" applyAlignment="1">
      <alignment vertical="center" wrapText="1"/>
    </xf>
    <xf numFmtId="0" fontId="2" fillId="5" borderId="0" xfId="0" applyFont="1" applyFill="1" applyBorder="1">
      <alignment vertical="center"/>
    </xf>
    <xf numFmtId="0" fontId="3" fillId="5" borderId="0" xfId="0" applyFont="1" applyFill="1" applyBorder="1" applyAlignment="1">
      <alignment vertical="center" wrapText="1"/>
    </xf>
    <xf numFmtId="0" fontId="2" fillId="6" borderId="0" xfId="0" applyFont="1" applyFill="1" applyBorder="1">
      <alignment vertical="center"/>
    </xf>
    <xf numFmtId="0" fontId="3" fillId="6" borderId="0" xfId="0" applyFont="1" applyFill="1" applyBorder="1" applyAlignment="1">
      <alignment vertical="center" wrapText="1"/>
    </xf>
    <xf numFmtId="0" fontId="2" fillId="7" borderId="0" xfId="0" applyFont="1" applyFill="1" applyBorder="1">
      <alignment vertical="center"/>
    </xf>
    <xf numFmtId="0" fontId="3" fillId="7" borderId="0" xfId="0" applyFont="1" applyFill="1" applyBorder="1" applyAlignment="1">
      <alignment vertical="center" wrapText="1"/>
    </xf>
    <xf numFmtId="0" fontId="2" fillId="8" borderId="0" xfId="0" applyFont="1" applyFill="1" applyBorder="1">
      <alignment vertical="center"/>
    </xf>
    <xf numFmtId="0" fontId="3" fillId="8" borderId="0" xfId="0" applyFont="1" applyFill="1" applyBorder="1" applyAlignment="1">
      <alignment vertical="center" wrapText="1"/>
    </xf>
    <xf numFmtId="0" fontId="7" fillId="0" borderId="0" xfId="0" applyFont="1" applyBorder="1" applyAlignment="1">
      <alignment horizontal="center" vertical="center"/>
    </xf>
    <xf numFmtId="0" fontId="8" fillId="0" borderId="0" xfId="0" applyFont="1">
      <alignment vertical="center"/>
    </xf>
    <xf numFmtId="0" fontId="9" fillId="8" borderId="0" xfId="0" applyFont="1" applyFill="1">
      <alignment vertical="center"/>
    </xf>
    <xf numFmtId="0" fontId="9" fillId="8" borderId="0" xfId="0" applyNumberFormat="1" applyFont="1" applyFill="1">
      <alignment vertical="center"/>
    </xf>
    <xf numFmtId="0" fontId="10" fillId="0" borderId="0" xfId="0" applyFont="1">
      <alignment vertical="center"/>
    </xf>
    <xf numFmtId="0" fontId="0" fillId="0" borderId="4" xfId="0" applyBorder="1">
      <alignment vertical="center"/>
    </xf>
    <xf numFmtId="0" fontId="11" fillId="0" borderId="0" xfId="0" applyFont="1">
      <alignment vertical="center"/>
    </xf>
    <xf numFmtId="0" fontId="12" fillId="0" borderId="0" xfId="0" applyFont="1">
      <alignment vertical="center"/>
    </xf>
    <xf numFmtId="0" fontId="0" fillId="0" borderId="0" xfId="0" applyAlignme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0_3">
  <dgm:title val=""/>
  <dgm:desc val=""/>
  <dgm:catLst>
    <dgm:cat type="mainScheme" pri="10300"/>
  </dgm:catLst>
  <dgm:styleLbl name="node0">
    <dgm:fillClrLst meth="repeat">
      <a:schemeClr val="dk2"/>
    </dgm:fillClrLst>
    <dgm:linClrLst meth="repeat">
      <a:schemeClr val="lt2"/>
    </dgm:linClrLst>
    <dgm:effectClrLst/>
    <dgm:txLinClrLst/>
    <dgm:txFillClrLst/>
    <dgm:txEffectClrLst/>
  </dgm:styleLbl>
  <dgm:styleLbl name="alignNode1">
    <dgm:fillClrLst meth="repeat">
      <a:schemeClr val="dk2"/>
    </dgm:fillClrLst>
    <dgm:linClrLst meth="repeat">
      <a:schemeClr val="dk2"/>
    </dgm:linClrLst>
    <dgm:effectClrLst/>
    <dgm:txLinClrLst/>
    <dgm:txFillClrLst/>
    <dgm:txEffectClrLst/>
  </dgm:styleLbl>
  <dgm:styleLbl name="node1">
    <dgm:fillClrLst meth="repeat">
      <a:schemeClr val="dk2"/>
    </dgm:fillClrLst>
    <dgm:linClrLst meth="repeat">
      <a:schemeClr val="lt2"/>
    </dgm:linClrLst>
    <dgm:effectClrLst/>
    <dgm:txLinClrLst/>
    <dgm:txFillClrLst/>
    <dgm:txEffectClrLst/>
  </dgm:styleLbl>
  <dgm:styleLbl name="lnNode1">
    <dgm:fillClrLst meth="repeat">
      <a:schemeClr val="dk2"/>
    </dgm:fillClrLst>
    <dgm:linClrLst meth="repeat">
      <a:schemeClr val="lt2"/>
    </dgm:linClrLst>
    <dgm:effectClrLst/>
    <dgm:txLinClrLst/>
    <dgm:txFillClrLst/>
    <dgm:txEffectClrLst/>
  </dgm:styleLbl>
  <dgm:styleLbl name="vennNode1">
    <dgm:fillClrLst meth="repeat">
      <a:schemeClr val="dk2">
        <a:alpha val="50000"/>
      </a:schemeClr>
    </dgm:fillClrLst>
    <dgm:linClrLst meth="repeat">
      <a:schemeClr val="lt2"/>
    </dgm:linClrLst>
    <dgm:effectClrLst/>
    <dgm:txLinClrLst/>
    <dgm:txFillClrLst/>
    <dgm:txEffectClrLst/>
  </dgm:styleLbl>
  <dgm:styleLbl name="node2">
    <dgm:fillClrLst meth="repeat">
      <a:schemeClr val="dk2"/>
    </dgm:fillClrLst>
    <dgm:linClrLst meth="repeat">
      <a:schemeClr val="lt2"/>
    </dgm:linClrLst>
    <dgm:effectClrLst/>
    <dgm:txLinClrLst/>
    <dgm:txFillClrLst/>
    <dgm:txEffectClrLst/>
  </dgm:styleLbl>
  <dgm:styleLbl name="node3">
    <dgm:fillClrLst meth="repeat">
      <a:schemeClr val="dk2"/>
    </dgm:fillClrLst>
    <dgm:linClrLst meth="repeat">
      <a:schemeClr val="lt2"/>
    </dgm:linClrLst>
    <dgm:effectClrLst/>
    <dgm:txLinClrLst/>
    <dgm:txFillClrLst/>
    <dgm:txEffectClrLst/>
  </dgm:styleLbl>
  <dgm:styleLbl name="node4">
    <dgm:fillClrLst meth="repeat">
      <a:schemeClr val="dk2"/>
    </dgm:fillClrLst>
    <dgm:linClrLst meth="repeat">
      <a:schemeClr val="lt2"/>
    </dgm:linClrLst>
    <dgm:effectClrLst/>
    <dgm:txLinClrLst/>
    <dgm:txFillClrLst/>
    <dgm:txEffectClrLst/>
  </dgm:styleLbl>
  <dgm:styleLbl name="fgImgPlace1">
    <dgm:fillClrLst meth="repeat">
      <a:schemeClr val="dk2">
        <a:tint val="50000"/>
      </a:schemeClr>
    </dgm:fillClrLst>
    <dgm:linClrLst meth="repeat">
      <a:schemeClr val="lt2"/>
    </dgm:linClrLst>
    <dgm:effectClrLst/>
    <dgm:txLinClrLst/>
    <dgm:txFillClrLst meth="repeat">
      <a:schemeClr val="lt2"/>
    </dgm:txFillClrLst>
    <dgm:txEffectClrLst/>
  </dgm:styleLbl>
  <dgm:styleLbl name="alignImgPlace1">
    <dgm:fillClrLst meth="repeat">
      <a:schemeClr val="dk2">
        <a:tint val="50000"/>
      </a:schemeClr>
    </dgm:fillClrLst>
    <dgm:linClrLst meth="repeat">
      <a:schemeClr val="dk2">
        <a:shade val="80000"/>
      </a:schemeClr>
    </dgm:linClrLst>
    <dgm:effectClrLst/>
    <dgm:txLinClrLst/>
    <dgm:txFillClrLst meth="repeat">
      <a:schemeClr val="lt2"/>
    </dgm:txFillClrLst>
    <dgm:txEffectClrLst/>
  </dgm:styleLbl>
  <dgm:styleLbl name="bgImgPlace1">
    <dgm:fillClrLst meth="repeat">
      <a:schemeClr val="dk2">
        <a:tint val="50000"/>
      </a:schemeClr>
    </dgm:fillClrLst>
    <dgm:linClrLst meth="repeat">
      <a:schemeClr val="dk2">
        <a:shade val="80000"/>
      </a:schemeClr>
    </dgm:linClrLst>
    <dgm:effectClrLst/>
    <dgm:txLinClrLst/>
    <dgm:txFillClrLst meth="repeat">
      <a:schemeClr val="lt2"/>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dgm:txEffectClrLst/>
  </dgm:styleLbl>
  <dgm:styleLbl name="sibTrans1D1">
    <dgm:fillClrLst meth="repeat">
      <a:schemeClr val="dk2"/>
    </dgm:fillClrLst>
    <dgm:linClrLst meth="repeat">
      <a:schemeClr val="dk2"/>
    </dgm:linClrLst>
    <dgm:effectClrLst/>
    <dgm:txLinClrLst/>
    <dgm:txFillClrLst meth="repeat">
      <a:schemeClr val="lt2"/>
    </dgm:txFillClrLst>
    <dgm:txEffectClrLst/>
  </dgm:styleLbl>
  <dgm:styleLbl name="callout">
    <dgm:fillClrLst meth="repeat">
      <a:schemeClr val="dk2"/>
    </dgm:fillClrLst>
    <dgm:linClrLst meth="repeat">
      <a:schemeClr val="dk2">
        <a:tint val="50000"/>
      </a:schemeClr>
    </dgm:linClrLst>
    <dgm:effectClrLst/>
    <dgm:txLinClrLst/>
    <dgm:txFillClrLst meth="repeat">
      <a:schemeClr val="lt2"/>
    </dgm:txFillClrLst>
    <dgm:txEffectClrLst/>
  </dgm:styleLbl>
  <dgm:styleLbl name="asst0">
    <dgm:fillClrLst meth="repeat">
      <a:schemeClr val="dk2"/>
    </dgm:fillClrLst>
    <dgm:linClrLst meth="repeat">
      <a:schemeClr val="lt2"/>
    </dgm:linClrLst>
    <dgm:effectClrLst/>
    <dgm:txLinClrLst/>
    <dgm:txFillClrLst/>
    <dgm:txEffectClrLst/>
  </dgm:styleLbl>
  <dgm:styleLbl name="asst1">
    <dgm:fillClrLst meth="repeat">
      <a:schemeClr val="dk2"/>
    </dgm:fillClrLst>
    <dgm:linClrLst meth="repeat">
      <a:schemeClr val="lt2"/>
    </dgm:linClrLst>
    <dgm:effectClrLst/>
    <dgm:txLinClrLst/>
    <dgm:txFillClrLst/>
    <dgm:txEffectClrLst/>
  </dgm:styleLbl>
  <dgm:styleLbl name="asst2">
    <dgm:fillClrLst meth="repeat">
      <a:schemeClr val="dk2"/>
    </dgm:fillClrLst>
    <dgm:linClrLst meth="repeat">
      <a:schemeClr val="lt2"/>
    </dgm:linClrLst>
    <dgm:effectClrLst/>
    <dgm:txLinClrLst/>
    <dgm:txFillClrLst/>
    <dgm:txEffectClrLst/>
  </dgm:styleLbl>
  <dgm:styleLbl name="asst3">
    <dgm:fillClrLst meth="repeat">
      <a:schemeClr val="dk2"/>
    </dgm:fillClrLst>
    <dgm:linClrLst meth="repeat">
      <a:schemeClr val="lt2"/>
    </dgm:linClrLst>
    <dgm:effectClrLst/>
    <dgm:txLinClrLst/>
    <dgm:txFillClrLst/>
    <dgm:txEffectClrLst/>
  </dgm:styleLbl>
  <dgm:styleLbl name="asst4">
    <dgm:fillClrLst meth="repeat">
      <a:schemeClr val="dk2"/>
    </dgm:fillClrLst>
    <dgm:linClrLst meth="repeat">
      <a:schemeClr val="lt2"/>
    </dgm:linClrLst>
    <dgm:effectClrLst/>
    <dgm:txLinClrLst/>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meth="repeat">
      <a:schemeClr val="lt2"/>
    </dgm:txFillClrLst>
    <dgm:txEffectClrLst/>
  </dgm:styleLbl>
  <dgm:styleLbl name="parChTrans2D2">
    <dgm:fillClrLst meth="repeat">
      <a:schemeClr val="dk2"/>
    </dgm:fillClrLst>
    <dgm:linClrLst meth="repeat">
      <a:schemeClr val="dk2"/>
    </dgm:linClrLst>
    <dgm:effectClrLst/>
    <dgm:txLinClrLst/>
    <dgm:txFillClrLst meth="repeat">
      <a:schemeClr val="lt2"/>
    </dgm:txFillClrLst>
    <dgm:txEffectClrLst/>
  </dgm:styleLbl>
  <dgm:styleLbl name="parChTrans2D3">
    <dgm:fillClrLst meth="repeat">
      <a:schemeClr val="dk2"/>
    </dgm:fillClrLst>
    <dgm:linClrLst meth="repeat">
      <a:schemeClr val="dk2"/>
    </dgm:linClrLst>
    <dgm:effectClrLst/>
    <dgm:txLinClrLst/>
    <dgm:txFillClrLst meth="repeat">
      <a:schemeClr val="lt2"/>
    </dgm:txFillClrLst>
    <dgm:txEffectClrLst/>
  </dgm:styleLbl>
  <dgm:styleLbl name="parChTrans2D4">
    <dgm:fillClrLst meth="repeat">
      <a:schemeClr val="dk2"/>
    </dgm:fillClrLst>
    <dgm:linClrLst meth="repeat">
      <a:schemeClr val="dk2"/>
    </dgm:linClrLst>
    <dgm:effectClrLst/>
    <dgm:txLinClrLst/>
    <dgm:txFillClrLst meth="repeat">
      <a:schemeClr val="lt2"/>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lt2">
        <a:alpha val="90000"/>
      </a:schemeClr>
    </dgm:fillClrLst>
    <dgm:linClrLst meth="repeat">
      <a:schemeClr val="dk2"/>
    </dgm:linClrLst>
    <dgm:effectClrLst/>
    <dgm:txLinClrLst/>
    <dgm:txFillClrLst meth="repeat">
      <a:schemeClr val="dk1"/>
    </dgm:txFillClrLst>
    <dgm:txEffectClrLst/>
  </dgm:styleLbl>
  <dgm:styleLbl name="conFgAcc1">
    <dgm:fillClrLst meth="repeat">
      <a:schemeClr val="lt2">
        <a:alpha val="90000"/>
      </a:schemeClr>
    </dgm:fillClrLst>
    <dgm:linClrLst meth="repeat">
      <a:schemeClr val="dk2"/>
    </dgm:linClrLst>
    <dgm:effectClrLst/>
    <dgm:txLinClrLst/>
    <dgm:txFillClrLst meth="repeat">
      <a:schemeClr val="dk1"/>
    </dgm:txFillClrLst>
    <dgm:txEffectClrLst/>
  </dgm:styleLbl>
  <dgm:styleLbl name="alignAcc1">
    <dgm:fillClrLst meth="repeat">
      <a:schemeClr val="lt2">
        <a:alpha val="90000"/>
      </a:schemeClr>
    </dgm:fillClrLst>
    <dgm:linClrLst meth="repeat">
      <a:schemeClr val="dk2"/>
    </dgm:linClrLst>
    <dgm:effectClrLst/>
    <dgm:txLinClrLst/>
    <dgm:txFillClrLst meth="repeat">
      <a:schemeClr val="dk1"/>
    </dgm:txFillClrLst>
    <dgm:txEffectClrLst/>
  </dgm:styleLbl>
  <dgm:styleLbl name="trAlignAcc1">
    <dgm:fillClrLst meth="repeat">
      <a:schemeClr val="lt2">
        <a:alpha val="40000"/>
      </a:schemeClr>
    </dgm:fillClrLst>
    <dgm:linClrLst meth="repeat">
      <a:schemeClr val="dk2"/>
    </dgm:linClrLst>
    <dgm:effectClrLst/>
    <dgm:txLinClrLst/>
    <dgm:txFillClrLst meth="repeat">
      <a:schemeClr val="dk1"/>
    </dgm:txFillClrLst>
    <dgm:txEffectClrLst/>
  </dgm:styleLbl>
  <dgm:styleLbl name="bgAcc1">
    <dgm:fillClrLst meth="repeat">
      <a:schemeClr val="lt2">
        <a:alpha val="90000"/>
      </a:schemeClr>
    </dgm:fillClrLst>
    <dgm:linClrLst meth="repeat">
      <a:schemeClr val="dk2"/>
    </dgm:linClrLst>
    <dgm:effectClrLst/>
    <dgm:txLinClrLst/>
    <dgm:txFillClrLst meth="repeat">
      <a:schemeClr val="dk1"/>
    </dgm:txFillClrLst>
    <dgm:txEffectClrLst/>
  </dgm:styleLbl>
  <dgm:styleLbl name="solidFgAcc1">
    <dgm:fillClrLst meth="repeat">
      <a:schemeClr val="lt2"/>
    </dgm:fillClrLst>
    <dgm:linClrLst meth="repeat">
      <a:schemeClr val="dk2"/>
    </dgm:linClrLst>
    <dgm:effectClrLst/>
    <dgm:txLinClrLst/>
    <dgm:txFillClrLst meth="repeat">
      <a:schemeClr val="dk1"/>
    </dgm:txFillClrLst>
    <dgm:txEffectClrLst/>
  </dgm:styleLbl>
  <dgm:styleLbl name="solidAlignAcc1">
    <dgm:fillClrLst meth="repeat">
      <a:schemeClr val="lt2"/>
    </dgm:fillClrLst>
    <dgm:linClrLst meth="repeat">
      <a:schemeClr val="dk2"/>
    </dgm:linClrLst>
    <dgm:effectClrLst/>
    <dgm:txLinClrLst/>
    <dgm:txFillClrLst meth="repeat">
      <a:schemeClr val="dk1"/>
    </dgm:txFillClrLst>
    <dgm:txEffectClrLst/>
  </dgm:styleLbl>
  <dgm:styleLbl name="solidBgAcc1">
    <dgm:fillClrLst meth="repeat">
      <a:schemeClr val="lt2"/>
    </dgm:fillClrLst>
    <dgm:linClrLst meth="repeat">
      <a:schemeClr val="dk2"/>
    </dgm:linClrLst>
    <dgm:effectClrLst/>
    <dgm:txLinClrLst/>
    <dgm:txFillClrLst meth="repeat">
      <a:schemeClr val="dk1"/>
    </dgm:txFillClrLst>
    <dgm:txEffectClrLst/>
  </dgm:styleLbl>
  <dgm:styleLbl name="fgAccFollowNode1">
    <dgm:fillClrLst meth="repeat">
      <a:schemeClr val="dk2">
        <a:alpha val="90000"/>
        <a:tint val="40000"/>
      </a:schemeClr>
    </dgm:fillClrLst>
    <dgm:linClrLst meth="repeat">
      <a:schemeClr val="dk2">
        <a:alpha val="90000"/>
        <a:tint val="40000"/>
      </a:schemeClr>
    </dgm:linClrLst>
    <dgm:effectClrLst/>
    <dgm:txLinClrLst/>
    <dgm:txFillClrLst meth="repeat">
      <a:schemeClr val="dk1"/>
    </dgm:txFillClrLst>
    <dgm:txEffectClrLst/>
  </dgm:styleLbl>
  <dgm:styleLbl name="alignAccFollowNode1">
    <dgm:fillClrLst meth="repeat">
      <a:schemeClr val="dk2">
        <a:alpha val="90000"/>
        <a:tint val="40000"/>
      </a:schemeClr>
    </dgm:fillClrLst>
    <dgm:linClrLst meth="repeat">
      <a:schemeClr val="dk2">
        <a:alpha val="90000"/>
        <a:tint val="40000"/>
      </a:schemeClr>
    </dgm:linClrLst>
    <dgm:effectClrLst/>
    <dgm:txLinClrLst/>
    <dgm:txFillClrLst meth="repeat">
      <a:schemeClr val="dk1"/>
    </dgm:txFillClrLst>
    <dgm:txEffectClrLst/>
  </dgm:styleLbl>
  <dgm:styleLbl name="bgAccFollowNode1">
    <dgm:fillClrLst meth="repeat">
      <a:schemeClr val="dk2">
        <a:alpha val="90000"/>
        <a:tint val="40000"/>
      </a:schemeClr>
    </dgm:fillClrLst>
    <dgm:linClrLst meth="repeat">
      <a:schemeClr val="dk2">
        <a:alpha val="90000"/>
        <a:tint val="40000"/>
      </a:schemeClr>
    </dgm:linClrLst>
    <dgm:effectClrLst/>
    <dgm:txLinClrLst/>
    <dgm:txFillClrLst meth="repeat">
      <a:schemeClr val="dk1"/>
    </dgm:txFillClrLst>
    <dgm:txEffectClrLst/>
  </dgm:styleLbl>
  <dgm:styleLbl name="fgAcc0">
    <dgm:fillClrLst meth="repeat">
      <a:schemeClr val="lt2">
        <a:alpha val="90000"/>
      </a:schemeClr>
    </dgm:fillClrLst>
    <dgm:linClrLst meth="repeat">
      <a:schemeClr val="dk2"/>
    </dgm:linClrLst>
    <dgm:effectClrLst/>
    <dgm:txLinClrLst/>
    <dgm:txFillClrLst meth="repeat">
      <a:schemeClr val="dk1"/>
    </dgm:txFillClrLst>
    <dgm:txEffectClrLst/>
  </dgm:styleLbl>
  <dgm:styleLbl name="fgAcc2">
    <dgm:fillClrLst meth="repeat">
      <a:schemeClr val="lt2">
        <a:alpha val="90000"/>
      </a:schemeClr>
    </dgm:fillClrLst>
    <dgm:linClrLst meth="repeat">
      <a:schemeClr val="dk2"/>
    </dgm:linClrLst>
    <dgm:effectClrLst/>
    <dgm:txLinClrLst/>
    <dgm:txFillClrLst meth="repeat">
      <a:schemeClr val="dk1"/>
    </dgm:txFillClrLst>
    <dgm:txEffectClrLst/>
  </dgm:styleLbl>
  <dgm:styleLbl name="fgAcc3">
    <dgm:fillClrLst meth="repeat">
      <a:schemeClr val="lt2">
        <a:alpha val="90000"/>
      </a:schemeClr>
    </dgm:fillClrLst>
    <dgm:linClrLst meth="repeat">
      <a:schemeClr val="dk2"/>
    </dgm:linClrLst>
    <dgm:effectClrLst/>
    <dgm:txLinClrLst/>
    <dgm:txFillClrLst meth="repeat">
      <a:schemeClr val="dk1"/>
    </dgm:txFillClrLst>
    <dgm:txEffectClrLst/>
  </dgm:styleLbl>
  <dgm:styleLbl name="fgAcc4">
    <dgm:fillClrLst meth="repeat">
      <a:schemeClr val="lt2">
        <a:alpha val="90000"/>
      </a:schemeClr>
    </dgm:fillClrLst>
    <dgm:linClrLst meth="repeat">
      <a:schemeClr val="dk2"/>
    </dgm:linClrLst>
    <dgm:effectClrLst/>
    <dgm:txLinClrLst/>
    <dgm:txFillClrLst meth="repeat">
      <a:schemeClr val="dk1"/>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1"/>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1"/>
    </dgm:txFillClrLst>
    <dgm:txEffectClrLst/>
  </dgm:styleLbl>
  <dgm:styleLbl name="fgShp">
    <dgm:fillClrLst meth="repeat">
      <a:schemeClr val="dk2">
        <a:tint val="60000"/>
      </a:schemeClr>
    </dgm:fillClrLst>
    <dgm:linClrLst meth="repeat">
      <a:schemeClr val="lt2"/>
    </dgm:linClrLst>
    <dgm:effectClrLst/>
    <dgm:txLinClrLst/>
    <dgm:txFillClrLst meth="repeat">
      <a:schemeClr val="dk1"/>
    </dgm:txFillClrLst>
    <dgm:txEffectClrLst/>
  </dgm:styleLbl>
  <dgm:styleLbl name="revTx">
    <dgm:fillClrLst meth="repeat">
      <a:schemeClr val="lt2">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D560275A-01F3-4E92-9B8D-D128B0CFC71D}" type="doc">
      <dgm:prSet loTypeId="urn:microsoft.com/office/officeart/2005/8/layout/hierarchy6" loCatId="hierarchy" qsTypeId="urn:microsoft.com/office/officeart/2005/8/quickstyle/simple1" qsCatId="simple" csTypeId="urn:microsoft.com/office/officeart/2005/8/colors/colorful3" csCatId="colorful" phldr="1"/>
      <dgm:spPr/>
      <dgm:t>
        <a:bodyPr/>
        <a:lstStyle/>
        <a:p>
          <a:endParaRPr lang="zh-CN" altLang="en-US"/>
        </a:p>
      </dgm:t>
    </dgm:pt>
    <dgm:pt modelId="{4332FD3C-E155-42B4-A86E-5568818A03EA}">
      <dgm:prSet phldrT="[文本]"/>
      <dgm:spPr/>
      <dgm:t>
        <a:bodyPr/>
        <a:lstStyle/>
        <a:p>
          <a:r>
            <a:rPr lang="en-US" altLang="zh-CN"/>
            <a:t>Excel</a:t>
          </a:r>
          <a:endParaRPr lang="zh-CN" altLang="en-US"/>
        </a:p>
      </dgm:t>
    </dgm:pt>
    <dgm:pt modelId="{82327D53-60C3-4001-B2E8-711146200912}" type="parTrans" cxnId="{571BF5F0-E796-4187-A8B6-E2114547E142}">
      <dgm:prSet/>
      <dgm:spPr/>
      <dgm:t>
        <a:bodyPr/>
        <a:lstStyle/>
        <a:p>
          <a:endParaRPr lang="zh-CN" altLang="en-US"/>
        </a:p>
      </dgm:t>
    </dgm:pt>
    <dgm:pt modelId="{E0B83768-7A1E-44EE-8374-68598960656A}" type="sibTrans" cxnId="{571BF5F0-E796-4187-A8B6-E2114547E142}">
      <dgm:prSet/>
      <dgm:spPr/>
      <dgm:t>
        <a:bodyPr/>
        <a:lstStyle/>
        <a:p>
          <a:endParaRPr lang="zh-CN" altLang="en-US"/>
        </a:p>
      </dgm:t>
    </dgm:pt>
    <dgm:pt modelId="{2EE1EE97-BE61-454F-9187-8B4D257BB73A}">
      <dgm:prSet phldrT="[文本]"/>
      <dgm:spPr/>
      <dgm:t>
        <a:bodyPr/>
        <a:lstStyle/>
        <a:p>
          <a:r>
            <a:rPr lang="zh-CN" altLang="en-US"/>
            <a:t>函数</a:t>
          </a:r>
        </a:p>
      </dgm:t>
    </dgm:pt>
    <dgm:pt modelId="{FCE0B6D3-D07A-4EC2-A772-E33C7183B599}" type="parTrans" cxnId="{986C6352-564B-4712-BD1E-26CB193CBAA7}">
      <dgm:prSet/>
      <dgm:spPr/>
      <dgm:t>
        <a:bodyPr/>
        <a:lstStyle/>
        <a:p>
          <a:endParaRPr lang="zh-CN" altLang="en-US"/>
        </a:p>
      </dgm:t>
    </dgm:pt>
    <dgm:pt modelId="{85ADE7C0-F910-43E0-A8DA-C4ADBC39BAF9}" type="sibTrans" cxnId="{986C6352-564B-4712-BD1E-26CB193CBAA7}">
      <dgm:prSet/>
      <dgm:spPr/>
      <dgm:t>
        <a:bodyPr/>
        <a:lstStyle/>
        <a:p>
          <a:endParaRPr lang="zh-CN" altLang="en-US"/>
        </a:p>
      </dgm:t>
    </dgm:pt>
    <dgm:pt modelId="{39F4AD01-A9B4-4985-8FB6-944666A5B815}">
      <dgm:prSet phldrT="[文本]"/>
      <dgm:spPr/>
      <dgm:t>
        <a:bodyPr/>
        <a:lstStyle/>
        <a:p>
          <a:r>
            <a:rPr lang="en-US" altLang="zh-CN"/>
            <a:t>VBA</a:t>
          </a:r>
          <a:r>
            <a:rPr lang="zh-CN" altLang="en-US"/>
            <a:t>也称宏</a:t>
          </a:r>
        </a:p>
      </dgm:t>
    </dgm:pt>
    <dgm:pt modelId="{4FFE0401-E778-4FA9-BEF6-DD81C9A532BB}" type="parTrans" cxnId="{77F74B34-0BB2-4D35-B4F7-C0CDD03F03A9}">
      <dgm:prSet/>
      <dgm:spPr/>
      <dgm:t>
        <a:bodyPr/>
        <a:lstStyle/>
        <a:p>
          <a:endParaRPr lang="zh-CN" altLang="en-US"/>
        </a:p>
      </dgm:t>
    </dgm:pt>
    <dgm:pt modelId="{BAF7B442-5533-4BBB-A1FD-726F6807E6D3}" type="sibTrans" cxnId="{77F74B34-0BB2-4D35-B4F7-C0CDD03F03A9}">
      <dgm:prSet/>
      <dgm:spPr/>
      <dgm:t>
        <a:bodyPr/>
        <a:lstStyle/>
        <a:p>
          <a:endParaRPr lang="zh-CN" altLang="en-US"/>
        </a:p>
      </dgm:t>
    </dgm:pt>
    <dgm:pt modelId="{47524670-8253-44FA-9CC6-4ABAAB1C6855}">
      <dgm:prSet phldrT="[文本]"/>
      <dgm:spPr/>
      <dgm:t>
        <a:bodyPr/>
        <a:lstStyle/>
        <a:p>
          <a:r>
            <a:rPr lang="en-US"/>
            <a:t>Excel</a:t>
          </a:r>
          <a:r>
            <a:rPr lang="zh-CN" altLang="en-US"/>
            <a:t>基础应用</a:t>
          </a:r>
        </a:p>
      </dgm:t>
    </dgm:pt>
    <dgm:pt modelId="{D3BECE61-3EFE-448F-95A5-6AB64E585E7A}" type="parTrans" cxnId="{0C1BE139-99AC-44DA-9092-5E0294A0A5BC}">
      <dgm:prSet/>
      <dgm:spPr/>
      <dgm:t>
        <a:bodyPr/>
        <a:lstStyle/>
        <a:p>
          <a:endParaRPr lang="zh-CN" altLang="en-US"/>
        </a:p>
      </dgm:t>
    </dgm:pt>
    <dgm:pt modelId="{765676DF-85E7-44E9-BF7A-0F8292B77D68}" type="sibTrans" cxnId="{0C1BE139-99AC-44DA-9092-5E0294A0A5BC}">
      <dgm:prSet/>
      <dgm:spPr/>
      <dgm:t>
        <a:bodyPr/>
        <a:lstStyle/>
        <a:p>
          <a:endParaRPr lang="zh-CN" altLang="en-US"/>
        </a:p>
      </dgm:t>
    </dgm:pt>
    <dgm:pt modelId="{D78A7790-8E14-4EA0-8810-50557DCB7890}">
      <dgm:prSet phldrT="[文本]"/>
      <dgm:spPr/>
      <dgm:t>
        <a:bodyPr/>
        <a:lstStyle/>
        <a:p>
          <a:r>
            <a:rPr lang="en-US"/>
            <a:t>Excel</a:t>
          </a:r>
          <a:r>
            <a:rPr lang="zh-CN" altLang="en-US"/>
            <a:t>数据输入与处理</a:t>
          </a:r>
          <a:r>
            <a:rPr lang="en-US" altLang="zh-CN"/>
            <a:t>,</a:t>
          </a:r>
          <a:r>
            <a:rPr lang="en-US"/>
            <a:t>Excel</a:t>
          </a:r>
          <a:r>
            <a:rPr lang="zh-CN" altLang="en-US"/>
            <a:t>打印</a:t>
          </a:r>
          <a:r>
            <a:rPr lang="en-US" altLang="zh-CN"/>
            <a:t>,</a:t>
          </a:r>
          <a:r>
            <a:rPr lang="en-US"/>
            <a:t>Excel</a:t>
          </a:r>
          <a:r>
            <a:rPr lang="zh-CN" altLang="en-US"/>
            <a:t>文件保护</a:t>
          </a:r>
          <a:r>
            <a:rPr lang="en-US" altLang="zh-CN"/>
            <a:t>,</a:t>
          </a:r>
          <a:r>
            <a:rPr lang="en-US"/>
            <a:t>Excel</a:t>
          </a:r>
          <a:r>
            <a:rPr lang="zh-CN" altLang="en-US"/>
            <a:t>表格编辑</a:t>
          </a:r>
        </a:p>
      </dgm:t>
    </dgm:pt>
    <dgm:pt modelId="{3DDFC0E1-4EE0-47CC-BFF5-E18CE8564AD6}" type="parTrans" cxnId="{F8E6D8AD-34A6-46BE-AE4A-4277D3747F2F}">
      <dgm:prSet/>
      <dgm:spPr/>
      <dgm:t>
        <a:bodyPr/>
        <a:lstStyle/>
        <a:p>
          <a:endParaRPr lang="zh-CN" altLang="en-US"/>
        </a:p>
      </dgm:t>
    </dgm:pt>
    <dgm:pt modelId="{B57796B2-53E3-4953-99D9-16EA86BC8032}" type="sibTrans" cxnId="{F8E6D8AD-34A6-46BE-AE4A-4277D3747F2F}">
      <dgm:prSet/>
      <dgm:spPr/>
      <dgm:t>
        <a:bodyPr/>
        <a:lstStyle/>
        <a:p>
          <a:endParaRPr lang="zh-CN" altLang="en-US"/>
        </a:p>
      </dgm:t>
    </dgm:pt>
    <dgm:pt modelId="{454F641E-CCE8-4986-B00C-71198BF02978}">
      <dgm:prSet phldrT="[文本]"/>
      <dgm:spPr/>
      <dgm:t>
        <a:bodyPr/>
        <a:lstStyle/>
        <a:p>
          <a:r>
            <a:rPr lang="zh-CN" altLang="en-US"/>
            <a:t>常用函数</a:t>
          </a:r>
          <a:r>
            <a:rPr lang="en-US" altLang="zh-CN"/>
            <a:t>,</a:t>
          </a:r>
          <a:r>
            <a:rPr lang="zh-CN" altLang="en-US"/>
            <a:t>高级数据计算</a:t>
          </a:r>
          <a:r>
            <a:rPr lang="en-US" altLang="zh-CN"/>
            <a:t>,</a:t>
          </a:r>
          <a:r>
            <a:rPr lang="zh-CN" altLang="en-US"/>
            <a:t>数组公式</a:t>
          </a:r>
          <a:r>
            <a:rPr lang="en-US" altLang="zh-CN"/>
            <a:t>,</a:t>
          </a:r>
          <a:r>
            <a:rPr lang="zh-CN" altLang="en-US"/>
            <a:t>宏表函数</a:t>
          </a:r>
          <a:r>
            <a:rPr lang="en-US" altLang="zh-CN"/>
            <a:t>,</a:t>
          </a:r>
          <a:r>
            <a:rPr lang="zh-CN" altLang="en-US"/>
            <a:t>多维引用</a:t>
          </a:r>
        </a:p>
      </dgm:t>
    </dgm:pt>
    <dgm:pt modelId="{4B3B5212-79FC-4296-A3C6-B8F5B035C9A6}" type="parTrans" cxnId="{26977EBD-896C-4AA2-8162-A3E3FA5C241C}">
      <dgm:prSet/>
      <dgm:spPr/>
      <dgm:t>
        <a:bodyPr/>
        <a:lstStyle/>
        <a:p>
          <a:endParaRPr lang="zh-CN" altLang="en-US"/>
        </a:p>
      </dgm:t>
    </dgm:pt>
    <dgm:pt modelId="{34D70F30-4D40-4A79-8C27-425A5F76C4F7}" type="sibTrans" cxnId="{26977EBD-896C-4AA2-8162-A3E3FA5C241C}">
      <dgm:prSet/>
      <dgm:spPr/>
      <dgm:t>
        <a:bodyPr/>
        <a:lstStyle/>
        <a:p>
          <a:endParaRPr lang="zh-CN" altLang="en-US"/>
        </a:p>
      </dgm:t>
    </dgm:pt>
    <dgm:pt modelId="{9C2F529C-8C8E-4CF2-9BEF-24C928479ACB}">
      <dgm:prSet phldrT="[文本]"/>
      <dgm:spPr/>
      <dgm:t>
        <a:bodyPr/>
        <a:lstStyle/>
        <a:p>
          <a:r>
            <a:rPr lang="zh-CN" altLang="en-US"/>
            <a:t>图表</a:t>
          </a:r>
        </a:p>
      </dgm:t>
    </dgm:pt>
    <dgm:pt modelId="{6ACD2538-FCAD-480C-B7B9-ECE356CB5527}" type="parTrans" cxnId="{FE8E5525-86C9-49B4-A858-16431CA8C52E}">
      <dgm:prSet/>
      <dgm:spPr/>
      <dgm:t>
        <a:bodyPr/>
        <a:lstStyle/>
        <a:p>
          <a:endParaRPr lang="zh-CN" altLang="en-US"/>
        </a:p>
      </dgm:t>
    </dgm:pt>
    <dgm:pt modelId="{2378F594-E4B9-4DB6-A077-FE40714DA136}" type="sibTrans" cxnId="{FE8E5525-86C9-49B4-A858-16431CA8C52E}">
      <dgm:prSet/>
      <dgm:spPr/>
      <dgm:t>
        <a:bodyPr/>
        <a:lstStyle/>
        <a:p>
          <a:endParaRPr lang="zh-CN" altLang="en-US"/>
        </a:p>
      </dgm:t>
    </dgm:pt>
    <dgm:pt modelId="{FE885AC5-C452-4D3B-9C76-AD84CF557C08}">
      <dgm:prSet phldrT="[文本]"/>
      <dgm:spPr/>
      <dgm:t>
        <a:bodyPr/>
        <a:lstStyle/>
        <a:p>
          <a:r>
            <a:rPr lang="en-US" b="0" i="0"/>
            <a:t>Excel</a:t>
          </a:r>
          <a:r>
            <a:rPr lang="zh-CN" altLang="en-US" b="0" i="0"/>
            <a:t>图表</a:t>
          </a:r>
          <a:r>
            <a:rPr lang="en-US" altLang="zh-CN" b="0" i="0"/>
            <a:t>,</a:t>
          </a:r>
          <a:r>
            <a:rPr lang="zh-CN" altLang="en-US" b="0" i="0"/>
            <a:t>图形</a:t>
          </a:r>
          <a:r>
            <a:rPr lang="en-US" altLang="zh-CN" b="0" i="0"/>
            <a:t>,</a:t>
          </a:r>
          <a:r>
            <a:rPr lang="zh-CN" altLang="en-US" b="0" i="0"/>
            <a:t>图示</a:t>
          </a:r>
          <a:r>
            <a:rPr lang="en-US" altLang="zh-CN" b="0" i="0"/>
            <a:t>,</a:t>
          </a:r>
          <a:r>
            <a:rPr lang="en-US" b="0" i="0"/>
            <a:t>SmartArt,</a:t>
          </a:r>
          <a:r>
            <a:rPr lang="zh-CN" altLang="en-US" b="0" i="0"/>
            <a:t>数据可视化</a:t>
          </a:r>
          <a:endParaRPr lang="zh-CN" altLang="en-US"/>
        </a:p>
      </dgm:t>
    </dgm:pt>
    <dgm:pt modelId="{A9CC1574-A743-47FD-941B-42BFFBA20560}" type="parTrans" cxnId="{4ECF6A73-A2C9-4CF0-B1D7-BBBE6B38BE2C}">
      <dgm:prSet/>
      <dgm:spPr/>
      <dgm:t>
        <a:bodyPr/>
        <a:lstStyle/>
        <a:p>
          <a:endParaRPr lang="zh-CN" altLang="en-US"/>
        </a:p>
      </dgm:t>
    </dgm:pt>
    <dgm:pt modelId="{6DB32440-CB0B-4F10-A755-A35E571D6F1E}" type="sibTrans" cxnId="{4ECF6A73-A2C9-4CF0-B1D7-BBBE6B38BE2C}">
      <dgm:prSet/>
      <dgm:spPr/>
      <dgm:t>
        <a:bodyPr/>
        <a:lstStyle/>
        <a:p>
          <a:endParaRPr lang="zh-CN" altLang="en-US"/>
        </a:p>
      </dgm:t>
    </dgm:pt>
    <dgm:pt modelId="{F01947FC-D84E-4AB5-82FE-827859250FC1}">
      <dgm:prSet phldrT="[文本]"/>
      <dgm:spPr/>
      <dgm:t>
        <a:bodyPr/>
        <a:lstStyle/>
        <a:p>
          <a:r>
            <a:rPr lang="zh-CN" altLang="en-US"/>
            <a:t>数据透视表</a:t>
          </a:r>
        </a:p>
      </dgm:t>
    </dgm:pt>
    <dgm:pt modelId="{BDECED99-01E9-4621-89CF-75C69B5BB067}" type="parTrans" cxnId="{E5855775-0FA4-423D-9551-E3CA572F5441}">
      <dgm:prSet/>
      <dgm:spPr/>
      <dgm:t>
        <a:bodyPr/>
        <a:lstStyle/>
        <a:p>
          <a:endParaRPr lang="zh-CN" altLang="en-US"/>
        </a:p>
      </dgm:t>
    </dgm:pt>
    <dgm:pt modelId="{FF030058-A8FF-4444-B6F1-ED7123460394}" type="sibTrans" cxnId="{E5855775-0FA4-423D-9551-E3CA572F5441}">
      <dgm:prSet/>
      <dgm:spPr/>
      <dgm:t>
        <a:bodyPr/>
        <a:lstStyle/>
        <a:p>
          <a:endParaRPr lang="zh-CN" altLang="en-US"/>
        </a:p>
      </dgm:t>
    </dgm:pt>
    <dgm:pt modelId="{1CA7B54C-1498-49EC-93D4-482626DA8064}">
      <dgm:prSet phldrT="[文本]"/>
      <dgm:spPr/>
      <dgm:t>
        <a:bodyPr/>
        <a:lstStyle/>
        <a:p>
          <a:r>
            <a:rPr lang="zh-CN" altLang="en-US"/>
            <a:t>透视表，</a:t>
          </a:r>
          <a:r>
            <a:rPr lang="en-US" altLang="zh-CN"/>
            <a:t>SQL</a:t>
          </a:r>
          <a:r>
            <a:rPr lang="zh-CN" altLang="en-US"/>
            <a:t>，</a:t>
          </a:r>
          <a:r>
            <a:rPr lang="en-US" altLang="zh-CN"/>
            <a:t>XML</a:t>
          </a:r>
          <a:endParaRPr lang="zh-CN" altLang="en-US"/>
        </a:p>
      </dgm:t>
    </dgm:pt>
    <dgm:pt modelId="{93E5145F-63D2-4878-B66C-0E27396FA280}" type="parTrans" cxnId="{7FBB3351-9CBF-421B-8496-C3C13DF73853}">
      <dgm:prSet/>
      <dgm:spPr/>
      <dgm:t>
        <a:bodyPr/>
        <a:lstStyle/>
        <a:p>
          <a:endParaRPr lang="zh-CN" altLang="en-US"/>
        </a:p>
      </dgm:t>
    </dgm:pt>
    <dgm:pt modelId="{95AE99E9-7C00-453F-97F6-E09ECC9B332E}" type="sibTrans" cxnId="{7FBB3351-9CBF-421B-8496-C3C13DF73853}">
      <dgm:prSet/>
      <dgm:spPr/>
      <dgm:t>
        <a:bodyPr/>
        <a:lstStyle/>
        <a:p>
          <a:endParaRPr lang="zh-CN" altLang="en-US"/>
        </a:p>
      </dgm:t>
    </dgm:pt>
    <dgm:pt modelId="{4E545B0C-E952-491D-B7B0-8EC0EE4E0785}">
      <dgm:prSet phldrT="[文本]"/>
      <dgm:spPr/>
      <dgm:t>
        <a:bodyPr/>
        <a:lstStyle/>
        <a:p>
          <a:r>
            <a:rPr lang="en-US" altLang="zh-CN"/>
            <a:t>Excel</a:t>
          </a:r>
          <a:r>
            <a:rPr lang="zh-CN" altLang="en-US"/>
            <a:t>的二次开发，又称宏，定义过程，定义函数</a:t>
          </a:r>
        </a:p>
      </dgm:t>
    </dgm:pt>
    <dgm:pt modelId="{FEB99777-1D07-41EE-A88A-BB45A2E141A9}" type="parTrans" cxnId="{9B8B7729-C408-4429-9FE5-0B10CB44D912}">
      <dgm:prSet/>
      <dgm:spPr/>
      <dgm:t>
        <a:bodyPr/>
        <a:lstStyle/>
        <a:p>
          <a:endParaRPr lang="zh-CN" altLang="en-US"/>
        </a:p>
      </dgm:t>
    </dgm:pt>
    <dgm:pt modelId="{DD26D7CC-8F44-44F8-8F3E-AA1D6E0CAF6E}" type="sibTrans" cxnId="{9B8B7729-C408-4429-9FE5-0B10CB44D912}">
      <dgm:prSet/>
      <dgm:spPr/>
      <dgm:t>
        <a:bodyPr/>
        <a:lstStyle/>
        <a:p>
          <a:endParaRPr lang="zh-CN" altLang="en-US"/>
        </a:p>
      </dgm:t>
    </dgm:pt>
    <dgm:pt modelId="{9276D182-A947-4B41-B375-BB2EAF6758BD}">
      <dgm:prSet phldrT="[文本]"/>
      <dgm:spPr/>
      <dgm:t>
        <a:bodyPr/>
        <a:lstStyle/>
        <a:p>
          <a:r>
            <a:rPr lang="en-US" altLang="zh-CN"/>
            <a:t>.XLSM</a:t>
          </a:r>
          <a:r>
            <a:rPr lang="zh-CN" altLang="en-US"/>
            <a:t>、</a:t>
          </a:r>
          <a:r>
            <a:rPr lang="en-US" altLang="zh-CN"/>
            <a:t>.XLS</a:t>
          </a:r>
          <a:r>
            <a:rPr lang="zh-CN" altLang="en-US"/>
            <a:t>宏工作薄</a:t>
          </a:r>
        </a:p>
      </dgm:t>
    </dgm:pt>
    <dgm:pt modelId="{42D55CE1-340C-4094-89C5-A2FF94AF7734}" type="parTrans" cxnId="{1B5DD8C9-79B6-40BB-9C51-E70FFBF0ECC8}">
      <dgm:prSet/>
      <dgm:spPr/>
      <dgm:t>
        <a:bodyPr/>
        <a:lstStyle/>
        <a:p>
          <a:endParaRPr lang="zh-CN" altLang="en-US"/>
        </a:p>
      </dgm:t>
    </dgm:pt>
    <dgm:pt modelId="{68B83C3D-FD73-4C80-97D3-19CA3427A19D}" type="sibTrans" cxnId="{1B5DD8C9-79B6-40BB-9C51-E70FFBF0ECC8}">
      <dgm:prSet/>
      <dgm:spPr/>
      <dgm:t>
        <a:bodyPr/>
        <a:lstStyle/>
        <a:p>
          <a:endParaRPr lang="zh-CN" altLang="en-US"/>
        </a:p>
      </dgm:t>
    </dgm:pt>
    <dgm:pt modelId="{736B88BB-1A81-4975-A797-0AE182EED047}">
      <dgm:prSet phldrT="[文本]"/>
      <dgm:spPr/>
      <dgm:t>
        <a:bodyPr/>
        <a:lstStyle/>
        <a:p>
          <a:r>
            <a:rPr lang="en-US" altLang="zh-CN"/>
            <a:t>.XLAM</a:t>
          </a:r>
          <a:r>
            <a:rPr lang="zh-CN" altLang="en-US"/>
            <a:t>、</a:t>
          </a:r>
          <a:r>
            <a:rPr lang="en-US" altLang="zh-CN"/>
            <a:t>.XLA</a:t>
          </a:r>
          <a:r>
            <a:rPr lang="zh-CN" altLang="en-US"/>
            <a:t>加载宏</a:t>
          </a:r>
        </a:p>
      </dgm:t>
    </dgm:pt>
    <dgm:pt modelId="{8990895F-A0DC-484E-AEA2-CA94490A2A3A}" type="parTrans" cxnId="{E1939679-DAB5-4321-8D2C-AE9F0FBBFCBB}">
      <dgm:prSet/>
      <dgm:spPr/>
      <dgm:t>
        <a:bodyPr/>
        <a:lstStyle/>
        <a:p>
          <a:endParaRPr lang="zh-CN" altLang="en-US"/>
        </a:p>
      </dgm:t>
    </dgm:pt>
    <dgm:pt modelId="{EC0EB247-B458-4852-9C04-85E4ECCA5A79}" type="sibTrans" cxnId="{E1939679-DAB5-4321-8D2C-AE9F0FBBFCBB}">
      <dgm:prSet/>
      <dgm:spPr/>
      <dgm:t>
        <a:bodyPr/>
        <a:lstStyle/>
        <a:p>
          <a:endParaRPr lang="zh-CN" altLang="en-US"/>
        </a:p>
      </dgm:t>
    </dgm:pt>
    <dgm:pt modelId="{4B762FA5-6A30-4A34-8325-0FFD3BA3D8F9}">
      <dgm:prSet phldrT="[文本]"/>
      <dgm:spPr/>
      <dgm:t>
        <a:bodyPr/>
        <a:lstStyle/>
        <a:p>
          <a:r>
            <a:rPr lang="en-US" altLang="zh-CN"/>
            <a:t>.XLTM</a:t>
          </a:r>
          <a:r>
            <a:rPr lang="zh-CN" altLang="en-US"/>
            <a:t>宏模板</a:t>
          </a:r>
        </a:p>
      </dgm:t>
    </dgm:pt>
    <dgm:pt modelId="{45462519-D41C-49CF-AFE5-76A1C875D71F}" type="parTrans" cxnId="{0F1A3F85-E33C-45CD-A19C-95552FB51320}">
      <dgm:prSet/>
      <dgm:spPr/>
      <dgm:t>
        <a:bodyPr/>
        <a:lstStyle/>
        <a:p>
          <a:endParaRPr lang="zh-CN" altLang="en-US"/>
        </a:p>
      </dgm:t>
    </dgm:pt>
    <dgm:pt modelId="{6ECC621A-514E-4B03-878B-DE758766450F}" type="sibTrans" cxnId="{0F1A3F85-E33C-45CD-A19C-95552FB51320}">
      <dgm:prSet/>
      <dgm:spPr/>
      <dgm:t>
        <a:bodyPr/>
        <a:lstStyle/>
        <a:p>
          <a:endParaRPr lang="zh-CN" altLang="en-US"/>
        </a:p>
      </dgm:t>
    </dgm:pt>
    <dgm:pt modelId="{AB4BF517-83DA-4BA6-A9F8-0ADA0632681C}" type="pres">
      <dgm:prSet presAssocID="{D560275A-01F3-4E92-9B8D-D128B0CFC71D}" presName="mainComposite" presStyleCnt="0">
        <dgm:presLayoutVars>
          <dgm:chPref val="1"/>
          <dgm:dir/>
          <dgm:animOne val="branch"/>
          <dgm:animLvl val="lvl"/>
          <dgm:resizeHandles val="exact"/>
        </dgm:presLayoutVars>
      </dgm:prSet>
      <dgm:spPr/>
      <dgm:t>
        <a:bodyPr/>
        <a:lstStyle/>
        <a:p>
          <a:endParaRPr lang="zh-CN" altLang="en-US"/>
        </a:p>
      </dgm:t>
    </dgm:pt>
    <dgm:pt modelId="{5C0BDEBD-B14D-4E13-BD54-1FEFBE8012F0}" type="pres">
      <dgm:prSet presAssocID="{D560275A-01F3-4E92-9B8D-D128B0CFC71D}" presName="hierFlow" presStyleCnt="0"/>
      <dgm:spPr/>
    </dgm:pt>
    <dgm:pt modelId="{A493350B-3F0A-4CBE-8608-475DBB395AFE}" type="pres">
      <dgm:prSet presAssocID="{D560275A-01F3-4E92-9B8D-D128B0CFC71D}" presName="hierChild1" presStyleCnt="0">
        <dgm:presLayoutVars>
          <dgm:chPref val="1"/>
          <dgm:animOne val="branch"/>
          <dgm:animLvl val="lvl"/>
        </dgm:presLayoutVars>
      </dgm:prSet>
      <dgm:spPr/>
    </dgm:pt>
    <dgm:pt modelId="{2CCE7572-5397-49AA-88F3-CC7D83880965}" type="pres">
      <dgm:prSet presAssocID="{4332FD3C-E155-42B4-A86E-5568818A03EA}" presName="Name14" presStyleCnt="0"/>
      <dgm:spPr/>
    </dgm:pt>
    <dgm:pt modelId="{D8E2CFC0-718C-407B-B360-C61C59A6EF0A}" type="pres">
      <dgm:prSet presAssocID="{4332FD3C-E155-42B4-A86E-5568818A03EA}" presName="level1Shape" presStyleLbl="node0" presStyleIdx="0" presStyleCnt="1">
        <dgm:presLayoutVars>
          <dgm:chPref val="3"/>
        </dgm:presLayoutVars>
      </dgm:prSet>
      <dgm:spPr/>
      <dgm:t>
        <a:bodyPr/>
        <a:lstStyle/>
        <a:p>
          <a:endParaRPr lang="zh-CN" altLang="en-US"/>
        </a:p>
      </dgm:t>
    </dgm:pt>
    <dgm:pt modelId="{8406367F-96FF-42D8-858A-E7C56B2F8987}" type="pres">
      <dgm:prSet presAssocID="{4332FD3C-E155-42B4-A86E-5568818A03EA}" presName="hierChild2" presStyleCnt="0"/>
      <dgm:spPr/>
    </dgm:pt>
    <dgm:pt modelId="{0FD291E8-B5EE-4C1B-BC8F-AD664D771907}" type="pres">
      <dgm:prSet presAssocID="{D3BECE61-3EFE-448F-95A5-6AB64E585E7A}" presName="Name19" presStyleLbl="parChTrans1D2" presStyleIdx="0" presStyleCnt="5"/>
      <dgm:spPr/>
      <dgm:t>
        <a:bodyPr/>
        <a:lstStyle/>
        <a:p>
          <a:endParaRPr lang="zh-CN" altLang="en-US"/>
        </a:p>
      </dgm:t>
    </dgm:pt>
    <dgm:pt modelId="{7B46BCE4-B5DD-43D0-B55D-088531521F96}" type="pres">
      <dgm:prSet presAssocID="{47524670-8253-44FA-9CC6-4ABAAB1C6855}" presName="Name21" presStyleCnt="0"/>
      <dgm:spPr/>
    </dgm:pt>
    <dgm:pt modelId="{C031541E-809E-4C3D-A833-E8FC96C5E4C4}" type="pres">
      <dgm:prSet presAssocID="{47524670-8253-44FA-9CC6-4ABAAB1C6855}" presName="level2Shape" presStyleLbl="node2" presStyleIdx="0" presStyleCnt="5"/>
      <dgm:spPr/>
      <dgm:t>
        <a:bodyPr/>
        <a:lstStyle/>
        <a:p>
          <a:endParaRPr lang="zh-CN" altLang="en-US"/>
        </a:p>
      </dgm:t>
    </dgm:pt>
    <dgm:pt modelId="{233C1D8C-2357-42FA-93CC-596ABF0DC0BF}" type="pres">
      <dgm:prSet presAssocID="{47524670-8253-44FA-9CC6-4ABAAB1C6855}" presName="hierChild3" presStyleCnt="0"/>
      <dgm:spPr/>
    </dgm:pt>
    <dgm:pt modelId="{B8DBD0EA-052A-4705-B3E6-C8F23B09E562}" type="pres">
      <dgm:prSet presAssocID="{3DDFC0E1-4EE0-47CC-BFF5-E18CE8564AD6}" presName="Name19" presStyleLbl="parChTrans1D3" presStyleIdx="0" presStyleCnt="5"/>
      <dgm:spPr/>
      <dgm:t>
        <a:bodyPr/>
        <a:lstStyle/>
        <a:p>
          <a:endParaRPr lang="zh-CN" altLang="en-US"/>
        </a:p>
      </dgm:t>
    </dgm:pt>
    <dgm:pt modelId="{6B0A32C8-6FC0-4AF0-93C3-C11068E36395}" type="pres">
      <dgm:prSet presAssocID="{D78A7790-8E14-4EA0-8810-50557DCB7890}" presName="Name21" presStyleCnt="0"/>
      <dgm:spPr/>
    </dgm:pt>
    <dgm:pt modelId="{6255EAE5-513A-408B-8DD5-742B7DEE628D}" type="pres">
      <dgm:prSet presAssocID="{D78A7790-8E14-4EA0-8810-50557DCB7890}" presName="level2Shape" presStyleLbl="node3" presStyleIdx="0" presStyleCnt="5"/>
      <dgm:spPr/>
      <dgm:t>
        <a:bodyPr/>
        <a:lstStyle/>
        <a:p>
          <a:endParaRPr lang="zh-CN" altLang="en-US"/>
        </a:p>
      </dgm:t>
    </dgm:pt>
    <dgm:pt modelId="{1FC8EAF7-D2D3-4D87-91BD-7FF58CD162B7}" type="pres">
      <dgm:prSet presAssocID="{D78A7790-8E14-4EA0-8810-50557DCB7890}" presName="hierChild3" presStyleCnt="0"/>
      <dgm:spPr/>
    </dgm:pt>
    <dgm:pt modelId="{55214DA3-0DDD-42E8-8934-6FB6B5BEB2E5}" type="pres">
      <dgm:prSet presAssocID="{6ACD2538-FCAD-480C-B7B9-ECE356CB5527}" presName="Name19" presStyleLbl="parChTrans1D2" presStyleIdx="1" presStyleCnt="5"/>
      <dgm:spPr/>
      <dgm:t>
        <a:bodyPr/>
        <a:lstStyle/>
        <a:p>
          <a:endParaRPr lang="zh-CN" altLang="en-US"/>
        </a:p>
      </dgm:t>
    </dgm:pt>
    <dgm:pt modelId="{D8B0D835-AE1B-4B3E-8A74-34138B7E8DE5}" type="pres">
      <dgm:prSet presAssocID="{9C2F529C-8C8E-4CF2-9BEF-24C928479ACB}" presName="Name21" presStyleCnt="0"/>
      <dgm:spPr/>
    </dgm:pt>
    <dgm:pt modelId="{4F2DDA44-3AB5-45BF-BCA7-8DB3E6F52CC5}" type="pres">
      <dgm:prSet presAssocID="{9C2F529C-8C8E-4CF2-9BEF-24C928479ACB}" presName="level2Shape" presStyleLbl="node2" presStyleIdx="1" presStyleCnt="5"/>
      <dgm:spPr/>
      <dgm:t>
        <a:bodyPr/>
        <a:lstStyle/>
        <a:p>
          <a:endParaRPr lang="zh-CN" altLang="en-US"/>
        </a:p>
      </dgm:t>
    </dgm:pt>
    <dgm:pt modelId="{CF36A49F-A694-4F7E-B1E8-AD828F9AAF27}" type="pres">
      <dgm:prSet presAssocID="{9C2F529C-8C8E-4CF2-9BEF-24C928479ACB}" presName="hierChild3" presStyleCnt="0"/>
      <dgm:spPr/>
    </dgm:pt>
    <dgm:pt modelId="{26B4EAD0-CBED-4D89-87AE-5EA8CDE8B92E}" type="pres">
      <dgm:prSet presAssocID="{A9CC1574-A743-47FD-941B-42BFFBA20560}" presName="Name19" presStyleLbl="parChTrans1D3" presStyleIdx="1" presStyleCnt="5"/>
      <dgm:spPr/>
      <dgm:t>
        <a:bodyPr/>
        <a:lstStyle/>
        <a:p>
          <a:endParaRPr lang="zh-CN" altLang="en-US"/>
        </a:p>
      </dgm:t>
    </dgm:pt>
    <dgm:pt modelId="{4F2E673E-A30D-49AD-A68A-D17B52834D0B}" type="pres">
      <dgm:prSet presAssocID="{FE885AC5-C452-4D3B-9C76-AD84CF557C08}" presName="Name21" presStyleCnt="0"/>
      <dgm:spPr/>
    </dgm:pt>
    <dgm:pt modelId="{1A5881B9-AC77-4282-B137-1D4FEA2A7B4F}" type="pres">
      <dgm:prSet presAssocID="{FE885AC5-C452-4D3B-9C76-AD84CF557C08}" presName="level2Shape" presStyleLbl="node3" presStyleIdx="1" presStyleCnt="5"/>
      <dgm:spPr/>
      <dgm:t>
        <a:bodyPr/>
        <a:lstStyle/>
        <a:p>
          <a:endParaRPr lang="zh-CN" altLang="en-US"/>
        </a:p>
      </dgm:t>
    </dgm:pt>
    <dgm:pt modelId="{3E365C4D-563C-4C9F-899D-9414558EC266}" type="pres">
      <dgm:prSet presAssocID="{FE885AC5-C452-4D3B-9C76-AD84CF557C08}" presName="hierChild3" presStyleCnt="0"/>
      <dgm:spPr/>
    </dgm:pt>
    <dgm:pt modelId="{DD8B3E2B-BF21-4A6B-A044-ACFD002F0E46}" type="pres">
      <dgm:prSet presAssocID="{BDECED99-01E9-4621-89CF-75C69B5BB067}" presName="Name19" presStyleLbl="parChTrans1D2" presStyleIdx="2" presStyleCnt="5"/>
      <dgm:spPr/>
      <dgm:t>
        <a:bodyPr/>
        <a:lstStyle/>
        <a:p>
          <a:endParaRPr lang="zh-CN" altLang="en-US"/>
        </a:p>
      </dgm:t>
    </dgm:pt>
    <dgm:pt modelId="{8B6A07D6-C6D5-4CE6-981E-DB5C98BE6868}" type="pres">
      <dgm:prSet presAssocID="{F01947FC-D84E-4AB5-82FE-827859250FC1}" presName="Name21" presStyleCnt="0"/>
      <dgm:spPr/>
    </dgm:pt>
    <dgm:pt modelId="{C1C089A2-5CA0-4DF3-A60F-8B334C60ABD4}" type="pres">
      <dgm:prSet presAssocID="{F01947FC-D84E-4AB5-82FE-827859250FC1}" presName="level2Shape" presStyleLbl="node2" presStyleIdx="2" presStyleCnt="5"/>
      <dgm:spPr/>
      <dgm:t>
        <a:bodyPr/>
        <a:lstStyle/>
        <a:p>
          <a:endParaRPr lang="zh-CN" altLang="en-US"/>
        </a:p>
      </dgm:t>
    </dgm:pt>
    <dgm:pt modelId="{E2253000-A733-48EF-B06D-8E19569BA047}" type="pres">
      <dgm:prSet presAssocID="{F01947FC-D84E-4AB5-82FE-827859250FC1}" presName="hierChild3" presStyleCnt="0"/>
      <dgm:spPr/>
    </dgm:pt>
    <dgm:pt modelId="{0EB4994A-7647-45DC-B52E-4DA40D0CF944}" type="pres">
      <dgm:prSet presAssocID="{93E5145F-63D2-4878-B66C-0E27396FA280}" presName="Name19" presStyleLbl="parChTrans1D3" presStyleIdx="2" presStyleCnt="5"/>
      <dgm:spPr/>
      <dgm:t>
        <a:bodyPr/>
        <a:lstStyle/>
        <a:p>
          <a:endParaRPr lang="zh-CN" altLang="en-US"/>
        </a:p>
      </dgm:t>
    </dgm:pt>
    <dgm:pt modelId="{8A6BF6E4-A845-4CD2-9BC0-FFC97A01373F}" type="pres">
      <dgm:prSet presAssocID="{1CA7B54C-1498-49EC-93D4-482626DA8064}" presName="Name21" presStyleCnt="0"/>
      <dgm:spPr/>
    </dgm:pt>
    <dgm:pt modelId="{6B16A4B5-85F0-4DEF-AFAB-616A8D5DE01F}" type="pres">
      <dgm:prSet presAssocID="{1CA7B54C-1498-49EC-93D4-482626DA8064}" presName="level2Shape" presStyleLbl="node3" presStyleIdx="2" presStyleCnt="5"/>
      <dgm:spPr/>
      <dgm:t>
        <a:bodyPr/>
        <a:lstStyle/>
        <a:p>
          <a:endParaRPr lang="zh-CN" altLang="en-US"/>
        </a:p>
      </dgm:t>
    </dgm:pt>
    <dgm:pt modelId="{DF8770E0-7876-4FFF-A83D-4C5E668252CE}" type="pres">
      <dgm:prSet presAssocID="{1CA7B54C-1498-49EC-93D4-482626DA8064}" presName="hierChild3" presStyleCnt="0"/>
      <dgm:spPr/>
    </dgm:pt>
    <dgm:pt modelId="{DD1A38C5-70E8-4DEF-A4E9-E0A728554583}" type="pres">
      <dgm:prSet presAssocID="{FCE0B6D3-D07A-4EC2-A772-E33C7183B599}" presName="Name19" presStyleLbl="parChTrans1D2" presStyleIdx="3" presStyleCnt="5"/>
      <dgm:spPr/>
      <dgm:t>
        <a:bodyPr/>
        <a:lstStyle/>
        <a:p>
          <a:endParaRPr lang="zh-CN" altLang="en-US"/>
        </a:p>
      </dgm:t>
    </dgm:pt>
    <dgm:pt modelId="{33BFE59E-05A2-4A35-857A-6FC3758D0B52}" type="pres">
      <dgm:prSet presAssocID="{2EE1EE97-BE61-454F-9187-8B4D257BB73A}" presName="Name21" presStyleCnt="0"/>
      <dgm:spPr/>
    </dgm:pt>
    <dgm:pt modelId="{48AD90CB-194C-4935-8992-30B9F7ADCFE6}" type="pres">
      <dgm:prSet presAssocID="{2EE1EE97-BE61-454F-9187-8B4D257BB73A}" presName="level2Shape" presStyleLbl="node2" presStyleIdx="3" presStyleCnt="5"/>
      <dgm:spPr/>
      <dgm:t>
        <a:bodyPr/>
        <a:lstStyle/>
        <a:p>
          <a:endParaRPr lang="zh-CN" altLang="en-US"/>
        </a:p>
      </dgm:t>
    </dgm:pt>
    <dgm:pt modelId="{A25E37E7-958F-4347-82DA-D9DB0CF8E0D3}" type="pres">
      <dgm:prSet presAssocID="{2EE1EE97-BE61-454F-9187-8B4D257BB73A}" presName="hierChild3" presStyleCnt="0"/>
      <dgm:spPr/>
    </dgm:pt>
    <dgm:pt modelId="{2FEF4291-381A-4B8B-B33A-2671A0D004B1}" type="pres">
      <dgm:prSet presAssocID="{4B3B5212-79FC-4296-A3C6-B8F5B035C9A6}" presName="Name19" presStyleLbl="parChTrans1D3" presStyleIdx="3" presStyleCnt="5"/>
      <dgm:spPr/>
      <dgm:t>
        <a:bodyPr/>
        <a:lstStyle/>
        <a:p>
          <a:endParaRPr lang="zh-CN" altLang="en-US"/>
        </a:p>
      </dgm:t>
    </dgm:pt>
    <dgm:pt modelId="{275B4F29-85B4-4113-866F-5A0EB189CC16}" type="pres">
      <dgm:prSet presAssocID="{454F641E-CCE8-4986-B00C-71198BF02978}" presName="Name21" presStyleCnt="0"/>
      <dgm:spPr/>
    </dgm:pt>
    <dgm:pt modelId="{F17C7F57-2A53-4B3C-BEF3-AB0A27B97ADD}" type="pres">
      <dgm:prSet presAssocID="{454F641E-CCE8-4986-B00C-71198BF02978}" presName="level2Shape" presStyleLbl="node3" presStyleIdx="3" presStyleCnt="5"/>
      <dgm:spPr/>
      <dgm:t>
        <a:bodyPr/>
        <a:lstStyle/>
        <a:p>
          <a:endParaRPr lang="zh-CN" altLang="en-US"/>
        </a:p>
      </dgm:t>
    </dgm:pt>
    <dgm:pt modelId="{C57346D8-3A15-4C67-A5B3-72590E6E25B7}" type="pres">
      <dgm:prSet presAssocID="{454F641E-CCE8-4986-B00C-71198BF02978}" presName="hierChild3" presStyleCnt="0"/>
      <dgm:spPr/>
    </dgm:pt>
    <dgm:pt modelId="{268F187C-09D9-41B7-91A8-121E8E8C76B3}" type="pres">
      <dgm:prSet presAssocID="{4FFE0401-E778-4FA9-BEF6-DD81C9A532BB}" presName="Name19" presStyleLbl="parChTrans1D2" presStyleIdx="4" presStyleCnt="5"/>
      <dgm:spPr/>
      <dgm:t>
        <a:bodyPr/>
        <a:lstStyle/>
        <a:p>
          <a:endParaRPr lang="zh-CN" altLang="en-US"/>
        </a:p>
      </dgm:t>
    </dgm:pt>
    <dgm:pt modelId="{AB1A5077-E758-475C-9D8F-E8877B5DC760}" type="pres">
      <dgm:prSet presAssocID="{39F4AD01-A9B4-4985-8FB6-944666A5B815}" presName="Name21" presStyleCnt="0"/>
      <dgm:spPr/>
    </dgm:pt>
    <dgm:pt modelId="{292772CE-24F7-40AB-9A74-1B486EC87B05}" type="pres">
      <dgm:prSet presAssocID="{39F4AD01-A9B4-4985-8FB6-944666A5B815}" presName="level2Shape" presStyleLbl="node2" presStyleIdx="4" presStyleCnt="5"/>
      <dgm:spPr/>
      <dgm:t>
        <a:bodyPr/>
        <a:lstStyle/>
        <a:p>
          <a:endParaRPr lang="zh-CN" altLang="en-US"/>
        </a:p>
      </dgm:t>
    </dgm:pt>
    <dgm:pt modelId="{A2720256-9871-41FD-9A53-26A178B7EA81}" type="pres">
      <dgm:prSet presAssocID="{39F4AD01-A9B4-4985-8FB6-944666A5B815}" presName="hierChild3" presStyleCnt="0"/>
      <dgm:spPr/>
    </dgm:pt>
    <dgm:pt modelId="{997C0DAE-B8CE-4791-B9F2-EF3BEC6223DD}" type="pres">
      <dgm:prSet presAssocID="{FEB99777-1D07-41EE-A88A-BB45A2E141A9}" presName="Name19" presStyleLbl="parChTrans1D3" presStyleIdx="4" presStyleCnt="5"/>
      <dgm:spPr/>
      <dgm:t>
        <a:bodyPr/>
        <a:lstStyle/>
        <a:p>
          <a:endParaRPr lang="zh-CN" altLang="en-US"/>
        </a:p>
      </dgm:t>
    </dgm:pt>
    <dgm:pt modelId="{74804BE1-BF96-4545-BBFA-0DCFACAFCB6B}" type="pres">
      <dgm:prSet presAssocID="{4E545B0C-E952-491D-B7B0-8EC0EE4E0785}" presName="Name21" presStyleCnt="0"/>
      <dgm:spPr/>
    </dgm:pt>
    <dgm:pt modelId="{CC5ABC59-CAFD-45D5-8AB4-2995F3B1CF7B}" type="pres">
      <dgm:prSet presAssocID="{4E545B0C-E952-491D-B7B0-8EC0EE4E0785}" presName="level2Shape" presStyleLbl="node3" presStyleIdx="4" presStyleCnt="5"/>
      <dgm:spPr/>
      <dgm:t>
        <a:bodyPr/>
        <a:lstStyle/>
        <a:p>
          <a:endParaRPr lang="zh-CN" altLang="en-US"/>
        </a:p>
      </dgm:t>
    </dgm:pt>
    <dgm:pt modelId="{F385E851-ABF7-42D4-9372-845FBB9314FE}" type="pres">
      <dgm:prSet presAssocID="{4E545B0C-E952-491D-B7B0-8EC0EE4E0785}" presName="hierChild3" presStyleCnt="0"/>
      <dgm:spPr/>
    </dgm:pt>
    <dgm:pt modelId="{6C683169-6E07-46DE-806E-3DF7B0B07FDD}" type="pres">
      <dgm:prSet presAssocID="{42D55CE1-340C-4094-89C5-A2FF94AF7734}" presName="Name19" presStyleLbl="parChTrans1D4" presStyleIdx="0" presStyleCnt="3"/>
      <dgm:spPr/>
      <dgm:t>
        <a:bodyPr/>
        <a:lstStyle/>
        <a:p>
          <a:endParaRPr lang="zh-CN" altLang="en-US"/>
        </a:p>
      </dgm:t>
    </dgm:pt>
    <dgm:pt modelId="{BF615CF6-6D91-40D1-A00C-1A476EF9D196}" type="pres">
      <dgm:prSet presAssocID="{9276D182-A947-4B41-B375-BB2EAF6758BD}" presName="Name21" presStyleCnt="0"/>
      <dgm:spPr/>
    </dgm:pt>
    <dgm:pt modelId="{ABAF1F32-F523-43B5-9382-60B365F770DD}" type="pres">
      <dgm:prSet presAssocID="{9276D182-A947-4B41-B375-BB2EAF6758BD}" presName="level2Shape" presStyleLbl="node4" presStyleIdx="0" presStyleCnt="3"/>
      <dgm:spPr/>
      <dgm:t>
        <a:bodyPr/>
        <a:lstStyle/>
        <a:p>
          <a:endParaRPr lang="zh-CN" altLang="en-US"/>
        </a:p>
      </dgm:t>
    </dgm:pt>
    <dgm:pt modelId="{A90B182E-D645-4DDC-9B59-35EE4CECAB7A}" type="pres">
      <dgm:prSet presAssocID="{9276D182-A947-4B41-B375-BB2EAF6758BD}" presName="hierChild3" presStyleCnt="0"/>
      <dgm:spPr/>
    </dgm:pt>
    <dgm:pt modelId="{198BDA58-04F8-4C6E-9D8B-20599209C7DB}" type="pres">
      <dgm:prSet presAssocID="{8990895F-A0DC-484E-AEA2-CA94490A2A3A}" presName="Name19" presStyleLbl="parChTrans1D4" presStyleIdx="1" presStyleCnt="3"/>
      <dgm:spPr/>
      <dgm:t>
        <a:bodyPr/>
        <a:lstStyle/>
        <a:p>
          <a:endParaRPr lang="zh-CN" altLang="en-US"/>
        </a:p>
      </dgm:t>
    </dgm:pt>
    <dgm:pt modelId="{325E82FF-179B-49B6-87B3-7BDE2AFCEB45}" type="pres">
      <dgm:prSet presAssocID="{736B88BB-1A81-4975-A797-0AE182EED047}" presName="Name21" presStyleCnt="0"/>
      <dgm:spPr/>
    </dgm:pt>
    <dgm:pt modelId="{327CA70C-AE4F-4B6F-AF84-85FF42C86FDC}" type="pres">
      <dgm:prSet presAssocID="{736B88BB-1A81-4975-A797-0AE182EED047}" presName="level2Shape" presStyleLbl="node4" presStyleIdx="1" presStyleCnt="3"/>
      <dgm:spPr/>
      <dgm:t>
        <a:bodyPr/>
        <a:lstStyle/>
        <a:p>
          <a:endParaRPr lang="zh-CN" altLang="en-US"/>
        </a:p>
      </dgm:t>
    </dgm:pt>
    <dgm:pt modelId="{7D2A137A-FECC-465E-AFEF-EEC67AADE717}" type="pres">
      <dgm:prSet presAssocID="{736B88BB-1A81-4975-A797-0AE182EED047}" presName="hierChild3" presStyleCnt="0"/>
      <dgm:spPr/>
    </dgm:pt>
    <dgm:pt modelId="{CAE8228E-4EC6-42D2-80E3-8BD65E6D5FA8}" type="pres">
      <dgm:prSet presAssocID="{45462519-D41C-49CF-AFE5-76A1C875D71F}" presName="Name19" presStyleLbl="parChTrans1D4" presStyleIdx="2" presStyleCnt="3"/>
      <dgm:spPr/>
      <dgm:t>
        <a:bodyPr/>
        <a:lstStyle/>
        <a:p>
          <a:endParaRPr lang="zh-CN" altLang="en-US"/>
        </a:p>
      </dgm:t>
    </dgm:pt>
    <dgm:pt modelId="{2299AE93-06C4-467B-8100-A53AF8585E8C}" type="pres">
      <dgm:prSet presAssocID="{4B762FA5-6A30-4A34-8325-0FFD3BA3D8F9}" presName="Name21" presStyleCnt="0"/>
      <dgm:spPr/>
    </dgm:pt>
    <dgm:pt modelId="{BCADBDCD-560B-4497-AC67-2D440ECD09E4}" type="pres">
      <dgm:prSet presAssocID="{4B762FA5-6A30-4A34-8325-0FFD3BA3D8F9}" presName="level2Shape" presStyleLbl="node4" presStyleIdx="2" presStyleCnt="3"/>
      <dgm:spPr/>
      <dgm:t>
        <a:bodyPr/>
        <a:lstStyle/>
        <a:p>
          <a:endParaRPr lang="zh-CN" altLang="en-US"/>
        </a:p>
      </dgm:t>
    </dgm:pt>
    <dgm:pt modelId="{77D7F252-E94F-40FD-BD4D-60060B70619B}" type="pres">
      <dgm:prSet presAssocID="{4B762FA5-6A30-4A34-8325-0FFD3BA3D8F9}" presName="hierChild3" presStyleCnt="0"/>
      <dgm:spPr/>
    </dgm:pt>
    <dgm:pt modelId="{6F013C2E-E79F-48DC-8314-AFF20B36092F}" type="pres">
      <dgm:prSet presAssocID="{D560275A-01F3-4E92-9B8D-D128B0CFC71D}" presName="bgShapesFlow" presStyleCnt="0"/>
      <dgm:spPr/>
    </dgm:pt>
  </dgm:ptLst>
  <dgm:cxnLst>
    <dgm:cxn modelId="{3E7DBC41-867C-431A-BC5A-56132BDF8250}" type="presOf" srcId="{D3BECE61-3EFE-448F-95A5-6AB64E585E7A}" destId="{0FD291E8-B5EE-4C1B-BC8F-AD664D771907}" srcOrd="0" destOrd="0" presId="urn:microsoft.com/office/officeart/2005/8/layout/hierarchy6"/>
    <dgm:cxn modelId="{7FBB3351-9CBF-421B-8496-C3C13DF73853}" srcId="{F01947FC-D84E-4AB5-82FE-827859250FC1}" destId="{1CA7B54C-1498-49EC-93D4-482626DA8064}" srcOrd="0" destOrd="0" parTransId="{93E5145F-63D2-4878-B66C-0E27396FA280}" sibTransId="{95AE99E9-7C00-453F-97F6-E09ECC9B332E}"/>
    <dgm:cxn modelId="{986C6352-564B-4712-BD1E-26CB193CBAA7}" srcId="{4332FD3C-E155-42B4-A86E-5568818A03EA}" destId="{2EE1EE97-BE61-454F-9187-8B4D257BB73A}" srcOrd="3" destOrd="0" parTransId="{FCE0B6D3-D07A-4EC2-A772-E33C7183B599}" sibTransId="{85ADE7C0-F910-43E0-A8DA-C4ADBC39BAF9}"/>
    <dgm:cxn modelId="{F417682C-DB4F-4BCD-9046-466AAA172BF0}" type="presOf" srcId="{3DDFC0E1-4EE0-47CC-BFF5-E18CE8564AD6}" destId="{B8DBD0EA-052A-4705-B3E6-C8F23B09E562}" srcOrd="0" destOrd="0" presId="urn:microsoft.com/office/officeart/2005/8/layout/hierarchy6"/>
    <dgm:cxn modelId="{77F74B34-0BB2-4D35-B4F7-C0CDD03F03A9}" srcId="{4332FD3C-E155-42B4-A86E-5568818A03EA}" destId="{39F4AD01-A9B4-4985-8FB6-944666A5B815}" srcOrd="4" destOrd="0" parTransId="{4FFE0401-E778-4FA9-BEF6-DD81C9A532BB}" sibTransId="{BAF7B442-5533-4BBB-A1FD-726F6807E6D3}"/>
    <dgm:cxn modelId="{E8147C13-EC2F-448C-9CC6-FB6F5FAA2CF8}" type="presOf" srcId="{FCE0B6D3-D07A-4EC2-A772-E33C7183B599}" destId="{DD1A38C5-70E8-4DEF-A4E9-E0A728554583}" srcOrd="0" destOrd="0" presId="urn:microsoft.com/office/officeart/2005/8/layout/hierarchy6"/>
    <dgm:cxn modelId="{78B498C5-2107-4C8F-8BA4-970ECFADEE64}" type="presOf" srcId="{BDECED99-01E9-4621-89CF-75C69B5BB067}" destId="{DD8B3E2B-BF21-4A6B-A044-ACFD002F0E46}" srcOrd="0" destOrd="0" presId="urn:microsoft.com/office/officeart/2005/8/layout/hierarchy6"/>
    <dgm:cxn modelId="{F8E6D8AD-34A6-46BE-AE4A-4277D3747F2F}" srcId="{47524670-8253-44FA-9CC6-4ABAAB1C6855}" destId="{D78A7790-8E14-4EA0-8810-50557DCB7890}" srcOrd="0" destOrd="0" parTransId="{3DDFC0E1-4EE0-47CC-BFF5-E18CE8564AD6}" sibTransId="{B57796B2-53E3-4953-99D9-16EA86BC8032}"/>
    <dgm:cxn modelId="{571BF5F0-E796-4187-A8B6-E2114547E142}" srcId="{D560275A-01F3-4E92-9B8D-D128B0CFC71D}" destId="{4332FD3C-E155-42B4-A86E-5568818A03EA}" srcOrd="0" destOrd="0" parTransId="{82327D53-60C3-4001-B2E8-711146200912}" sibTransId="{E0B83768-7A1E-44EE-8374-68598960656A}"/>
    <dgm:cxn modelId="{1B5DD8C9-79B6-40BB-9C51-E70FFBF0ECC8}" srcId="{4E545B0C-E952-491D-B7B0-8EC0EE4E0785}" destId="{9276D182-A947-4B41-B375-BB2EAF6758BD}" srcOrd="0" destOrd="0" parTransId="{42D55CE1-340C-4094-89C5-A2FF94AF7734}" sibTransId="{68B83C3D-FD73-4C80-97D3-19CA3427A19D}"/>
    <dgm:cxn modelId="{2CA9ACC2-8B1A-4FBE-BFDF-B709F15AE263}" type="presOf" srcId="{47524670-8253-44FA-9CC6-4ABAAB1C6855}" destId="{C031541E-809E-4C3D-A833-E8FC96C5E4C4}" srcOrd="0" destOrd="0" presId="urn:microsoft.com/office/officeart/2005/8/layout/hierarchy6"/>
    <dgm:cxn modelId="{CA006060-FEDA-401F-BBCC-681AE429F71A}" type="presOf" srcId="{4332FD3C-E155-42B4-A86E-5568818A03EA}" destId="{D8E2CFC0-718C-407B-B360-C61C59A6EF0A}" srcOrd="0" destOrd="0" presId="urn:microsoft.com/office/officeart/2005/8/layout/hierarchy6"/>
    <dgm:cxn modelId="{F17C0AEF-C573-4C19-9012-1CF2EB756764}" type="presOf" srcId="{454F641E-CCE8-4986-B00C-71198BF02978}" destId="{F17C7F57-2A53-4B3C-BEF3-AB0A27B97ADD}" srcOrd="0" destOrd="0" presId="urn:microsoft.com/office/officeart/2005/8/layout/hierarchy6"/>
    <dgm:cxn modelId="{5826A4D7-F4BF-4CD2-9D27-0A7EDBDD86D0}" type="presOf" srcId="{D78A7790-8E14-4EA0-8810-50557DCB7890}" destId="{6255EAE5-513A-408B-8DD5-742B7DEE628D}" srcOrd="0" destOrd="0" presId="urn:microsoft.com/office/officeart/2005/8/layout/hierarchy6"/>
    <dgm:cxn modelId="{35B4A12F-1C41-492C-B05C-83B8624210B1}" type="presOf" srcId="{4B762FA5-6A30-4A34-8325-0FFD3BA3D8F9}" destId="{BCADBDCD-560B-4497-AC67-2D440ECD09E4}" srcOrd="0" destOrd="0" presId="urn:microsoft.com/office/officeart/2005/8/layout/hierarchy6"/>
    <dgm:cxn modelId="{9B8B7729-C408-4429-9FE5-0B10CB44D912}" srcId="{39F4AD01-A9B4-4985-8FB6-944666A5B815}" destId="{4E545B0C-E952-491D-B7B0-8EC0EE4E0785}" srcOrd="0" destOrd="0" parTransId="{FEB99777-1D07-41EE-A88A-BB45A2E141A9}" sibTransId="{DD26D7CC-8F44-44F8-8F3E-AA1D6E0CAF6E}"/>
    <dgm:cxn modelId="{8FCAF000-057F-40D4-894C-A4093E63D909}" type="presOf" srcId="{2EE1EE97-BE61-454F-9187-8B4D257BB73A}" destId="{48AD90CB-194C-4935-8992-30B9F7ADCFE6}" srcOrd="0" destOrd="0" presId="urn:microsoft.com/office/officeart/2005/8/layout/hierarchy6"/>
    <dgm:cxn modelId="{147C9830-18A8-4E7D-8D8C-28F0A1D4BF74}" type="presOf" srcId="{736B88BB-1A81-4975-A797-0AE182EED047}" destId="{327CA70C-AE4F-4B6F-AF84-85FF42C86FDC}" srcOrd="0" destOrd="0" presId="urn:microsoft.com/office/officeart/2005/8/layout/hierarchy6"/>
    <dgm:cxn modelId="{FE8E5525-86C9-49B4-A858-16431CA8C52E}" srcId="{4332FD3C-E155-42B4-A86E-5568818A03EA}" destId="{9C2F529C-8C8E-4CF2-9BEF-24C928479ACB}" srcOrd="1" destOrd="0" parTransId="{6ACD2538-FCAD-480C-B7B9-ECE356CB5527}" sibTransId="{2378F594-E4B9-4DB6-A077-FE40714DA136}"/>
    <dgm:cxn modelId="{E5855775-0FA4-423D-9551-E3CA572F5441}" srcId="{4332FD3C-E155-42B4-A86E-5568818A03EA}" destId="{F01947FC-D84E-4AB5-82FE-827859250FC1}" srcOrd="2" destOrd="0" parTransId="{BDECED99-01E9-4621-89CF-75C69B5BB067}" sibTransId="{FF030058-A8FF-4444-B6F1-ED7123460394}"/>
    <dgm:cxn modelId="{3087F1D6-6BC9-42C7-B724-6CE83D69AE92}" type="presOf" srcId="{39F4AD01-A9B4-4985-8FB6-944666A5B815}" destId="{292772CE-24F7-40AB-9A74-1B486EC87B05}" srcOrd="0" destOrd="0" presId="urn:microsoft.com/office/officeart/2005/8/layout/hierarchy6"/>
    <dgm:cxn modelId="{F3BFFEDE-05B6-4EF9-ADDA-21ADD39768BF}" type="presOf" srcId="{FEB99777-1D07-41EE-A88A-BB45A2E141A9}" destId="{997C0DAE-B8CE-4791-B9F2-EF3BEC6223DD}" srcOrd="0" destOrd="0" presId="urn:microsoft.com/office/officeart/2005/8/layout/hierarchy6"/>
    <dgm:cxn modelId="{6BBD3A8D-EF3F-401C-9152-CEF6F8DC0BEA}" type="presOf" srcId="{6ACD2538-FCAD-480C-B7B9-ECE356CB5527}" destId="{55214DA3-0DDD-42E8-8934-6FB6B5BEB2E5}" srcOrd="0" destOrd="0" presId="urn:microsoft.com/office/officeart/2005/8/layout/hierarchy6"/>
    <dgm:cxn modelId="{C87082EB-7E48-4788-B48A-AD986B5D6C54}" type="presOf" srcId="{4E545B0C-E952-491D-B7B0-8EC0EE4E0785}" destId="{CC5ABC59-CAFD-45D5-8AB4-2995F3B1CF7B}" srcOrd="0" destOrd="0" presId="urn:microsoft.com/office/officeart/2005/8/layout/hierarchy6"/>
    <dgm:cxn modelId="{BC18ADEA-D5CD-49C9-AFB0-9A9BE57F5CC0}" type="presOf" srcId="{42D55CE1-340C-4094-89C5-A2FF94AF7734}" destId="{6C683169-6E07-46DE-806E-3DF7B0B07FDD}" srcOrd="0" destOrd="0" presId="urn:microsoft.com/office/officeart/2005/8/layout/hierarchy6"/>
    <dgm:cxn modelId="{133B2C7C-A56A-4B0F-81F0-97000AA0D472}" type="presOf" srcId="{A9CC1574-A743-47FD-941B-42BFFBA20560}" destId="{26B4EAD0-CBED-4D89-87AE-5EA8CDE8B92E}" srcOrd="0" destOrd="0" presId="urn:microsoft.com/office/officeart/2005/8/layout/hierarchy6"/>
    <dgm:cxn modelId="{581FAC26-6E06-4F8F-8C5D-793145CBD477}" type="presOf" srcId="{93E5145F-63D2-4878-B66C-0E27396FA280}" destId="{0EB4994A-7647-45DC-B52E-4DA40D0CF944}" srcOrd="0" destOrd="0" presId="urn:microsoft.com/office/officeart/2005/8/layout/hierarchy6"/>
    <dgm:cxn modelId="{2AF0A110-BFB0-4839-B7B6-45E89D7FFFBF}" type="presOf" srcId="{4B3B5212-79FC-4296-A3C6-B8F5B035C9A6}" destId="{2FEF4291-381A-4B8B-B33A-2671A0D004B1}" srcOrd="0" destOrd="0" presId="urn:microsoft.com/office/officeart/2005/8/layout/hierarchy6"/>
    <dgm:cxn modelId="{CA0BF5B9-F7C9-4A11-97AB-D22D2D33EF1B}" type="presOf" srcId="{D560275A-01F3-4E92-9B8D-D128B0CFC71D}" destId="{AB4BF517-83DA-4BA6-A9F8-0ADA0632681C}" srcOrd="0" destOrd="0" presId="urn:microsoft.com/office/officeart/2005/8/layout/hierarchy6"/>
    <dgm:cxn modelId="{4ECF6A73-A2C9-4CF0-B1D7-BBBE6B38BE2C}" srcId="{9C2F529C-8C8E-4CF2-9BEF-24C928479ACB}" destId="{FE885AC5-C452-4D3B-9C76-AD84CF557C08}" srcOrd="0" destOrd="0" parTransId="{A9CC1574-A743-47FD-941B-42BFFBA20560}" sibTransId="{6DB32440-CB0B-4F10-A755-A35E571D6F1E}"/>
    <dgm:cxn modelId="{48DD018E-45B0-49C5-BF7C-12847B9019AC}" type="presOf" srcId="{F01947FC-D84E-4AB5-82FE-827859250FC1}" destId="{C1C089A2-5CA0-4DF3-A60F-8B334C60ABD4}" srcOrd="0" destOrd="0" presId="urn:microsoft.com/office/officeart/2005/8/layout/hierarchy6"/>
    <dgm:cxn modelId="{26977EBD-896C-4AA2-8162-A3E3FA5C241C}" srcId="{2EE1EE97-BE61-454F-9187-8B4D257BB73A}" destId="{454F641E-CCE8-4986-B00C-71198BF02978}" srcOrd="0" destOrd="0" parTransId="{4B3B5212-79FC-4296-A3C6-B8F5B035C9A6}" sibTransId="{34D70F30-4D40-4A79-8C27-425A5F76C4F7}"/>
    <dgm:cxn modelId="{1E1F97EF-68EB-4693-BC4C-D6859DA82BBB}" type="presOf" srcId="{9276D182-A947-4B41-B375-BB2EAF6758BD}" destId="{ABAF1F32-F523-43B5-9382-60B365F770DD}" srcOrd="0" destOrd="0" presId="urn:microsoft.com/office/officeart/2005/8/layout/hierarchy6"/>
    <dgm:cxn modelId="{1C84ED24-8B90-47B3-8176-348960BCBFAD}" type="presOf" srcId="{9C2F529C-8C8E-4CF2-9BEF-24C928479ACB}" destId="{4F2DDA44-3AB5-45BF-BCA7-8DB3E6F52CC5}" srcOrd="0" destOrd="0" presId="urn:microsoft.com/office/officeart/2005/8/layout/hierarchy6"/>
    <dgm:cxn modelId="{B0614EE9-90D5-40DA-9B17-906850126EE7}" type="presOf" srcId="{45462519-D41C-49CF-AFE5-76A1C875D71F}" destId="{CAE8228E-4EC6-42D2-80E3-8BD65E6D5FA8}" srcOrd="0" destOrd="0" presId="urn:microsoft.com/office/officeart/2005/8/layout/hierarchy6"/>
    <dgm:cxn modelId="{0C1BE139-99AC-44DA-9092-5E0294A0A5BC}" srcId="{4332FD3C-E155-42B4-A86E-5568818A03EA}" destId="{47524670-8253-44FA-9CC6-4ABAAB1C6855}" srcOrd="0" destOrd="0" parTransId="{D3BECE61-3EFE-448F-95A5-6AB64E585E7A}" sibTransId="{765676DF-85E7-44E9-BF7A-0F8292B77D68}"/>
    <dgm:cxn modelId="{4789028E-365A-4C33-8C22-49F3B291393C}" type="presOf" srcId="{4FFE0401-E778-4FA9-BEF6-DD81C9A532BB}" destId="{268F187C-09D9-41B7-91A8-121E8E8C76B3}" srcOrd="0" destOrd="0" presId="urn:microsoft.com/office/officeart/2005/8/layout/hierarchy6"/>
    <dgm:cxn modelId="{0F1A3F85-E33C-45CD-A19C-95552FB51320}" srcId="{4E545B0C-E952-491D-B7B0-8EC0EE4E0785}" destId="{4B762FA5-6A30-4A34-8325-0FFD3BA3D8F9}" srcOrd="2" destOrd="0" parTransId="{45462519-D41C-49CF-AFE5-76A1C875D71F}" sibTransId="{6ECC621A-514E-4B03-878B-DE758766450F}"/>
    <dgm:cxn modelId="{8A573598-84F5-492A-BA04-2D7C6769A2EF}" type="presOf" srcId="{FE885AC5-C452-4D3B-9C76-AD84CF557C08}" destId="{1A5881B9-AC77-4282-B137-1D4FEA2A7B4F}" srcOrd="0" destOrd="0" presId="urn:microsoft.com/office/officeart/2005/8/layout/hierarchy6"/>
    <dgm:cxn modelId="{8BDBC738-7D4E-43E6-AD08-08870E02CEDD}" type="presOf" srcId="{8990895F-A0DC-484E-AEA2-CA94490A2A3A}" destId="{198BDA58-04F8-4C6E-9D8B-20599209C7DB}" srcOrd="0" destOrd="0" presId="urn:microsoft.com/office/officeart/2005/8/layout/hierarchy6"/>
    <dgm:cxn modelId="{71898BCB-64BD-44B4-9D16-173E8870ACCD}" type="presOf" srcId="{1CA7B54C-1498-49EC-93D4-482626DA8064}" destId="{6B16A4B5-85F0-4DEF-AFAB-616A8D5DE01F}" srcOrd="0" destOrd="0" presId="urn:microsoft.com/office/officeart/2005/8/layout/hierarchy6"/>
    <dgm:cxn modelId="{E1939679-DAB5-4321-8D2C-AE9F0FBBFCBB}" srcId="{4E545B0C-E952-491D-B7B0-8EC0EE4E0785}" destId="{736B88BB-1A81-4975-A797-0AE182EED047}" srcOrd="1" destOrd="0" parTransId="{8990895F-A0DC-484E-AEA2-CA94490A2A3A}" sibTransId="{EC0EB247-B458-4852-9C04-85E4ECCA5A79}"/>
    <dgm:cxn modelId="{8834AAF6-F16F-480C-BC12-30F248DA68DB}" type="presParOf" srcId="{AB4BF517-83DA-4BA6-A9F8-0ADA0632681C}" destId="{5C0BDEBD-B14D-4E13-BD54-1FEFBE8012F0}" srcOrd="0" destOrd="0" presId="urn:microsoft.com/office/officeart/2005/8/layout/hierarchy6"/>
    <dgm:cxn modelId="{B953850E-F865-4262-A808-8BDECBC23CDA}" type="presParOf" srcId="{5C0BDEBD-B14D-4E13-BD54-1FEFBE8012F0}" destId="{A493350B-3F0A-4CBE-8608-475DBB395AFE}" srcOrd="0" destOrd="0" presId="urn:microsoft.com/office/officeart/2005/8/layout/hierarchy6"/>
    <dgm:cxn modelId="{CF8D959E-F42C-4C2C-B7DF-41E7FE99BDC1}" type="presParOf" srcId="{A493350B-3F0A-4CBE-8608-475DBB395AFE}" destId="{2CCE7572-5397-49AA-88F3-CC7D83880965}" srcOrd="0" destOrd="0" presId="urn:microsoft.com/office/officeart/2005/8/layout/hierarchy6"/>
    <dgm:cxn modelId="{14AAA31D-91D0-4EE0-8F06-F8A9ED20910F}" type="presParOf" srcId="{2CCE7572-5397-49AA-88F3-CC7D83880965}" destId="{D8E2CFC0-718C-407B-B360-C61C59A6EF0A}" srcOrd="0" destOrd="0" presId="urn:microsoft.com/office/officeart/2005/8/layout/hierarchy6"/>
    <dgm:cxn modelId="{BAF668DA-EB05-4F8E-A693-7934DDCBDF25}" type="presParOf" srcId="{2CCE7572-5397-49AA-88F3-CC7D83880965}" destId="{8406367F-96FF-42D8-858A-E7C56B2F8987}" srcOrd="1" destOrd="0" presId="urn:microsoft.com/office/officeart/2005/8/layout/hierarchy6"/>
    <dgm:cxn modelId="{A25E8B7C-C733-4D6E-9040-D99A496F311C}" type="presParOf" srcId="{8406367F-96FF-42D8-858A-E7C56B2F8987}" destId="{0FD291E8-B5EE-4C1B-BC8F-AD664D771907}" srcOrd="0" destOrd="0" presId="urn:microsoft.com/office/officeart/2005/8/layout/hierarchy6"/>
    <dgm:cxn modelId="{71F05C79-05BC-43CA-9769-D6CB42C3941D}" type="presParOf" srcId="{8406367F-96FF-42D8-858A-E7C56B2F8987}" destId="{7B46BCE4-B5DD-43D0-B55D-088531521F96}" srcOrd="1" destOrd="0" presId="urn:microsoft.com/office/officeart/2005/8/layout/hierarchy6"/>
    <dgm:cxn modelId="{6060BF1E-0F75-421E-94A3-21156A71CE27}" type="presParOf" srcId="{7B46BCE4-B5DD-43D0-B55D-088531521F96}" destId="{C031541E-809E-4C3D-A833-E8FC96C5E4C4}" srcOrd="0" destOrd="0" presId="urn:microsoft.com/office/officeart/2005/8/layout/hierarchy6"/>
    <dgm:cxn modelId="{914E1F0B-F03B-405C-B0AF-EAAAB3A9EE5C}" type="presParOf" srcId="{7B46BCE4-B5DD-43D0-B55D-088531521F96}" destId="{233C1D8C-2357-42FA-93CC-596ABF0DC0BF}" srcOrd="1" destOrd="0" presId="urn:microsoft.com/office/officeart/2005/8/layout/hierarchy6"/>
    <dgm:cxn modelId="{B6CA280E-232C-4EB9-BCC6-EF165F0BB44D}" type="presParOf" srcId="{233C1D8C-2357-42FA-93CC-596ABF0DC0BF}" destId="{B8DBD0EA-052A-4705-B3E6-C8F23B09E562}" srcOrd="0" destOrd="0" presId="urn:microsoft.com/office/officeart/2005/8/layout/hierarchy6"/>
    <dgm:cxn modelId="{AED17FA2-DEFD-4920-83A0-509031679ABF}" type="presParOf" srcId="{233C1D8C-2357-42FA-93CC-596ABF0DC0BF}" destId="{6B0A32C8-6FC0-4AF0-93C3-C11068E36395}" srcOrd="1" destOrd="0" presId="urn:microsoft.com/office/officeart/2005/8/layout/hierarchy6"/>
    <dgm:cxn modelId="{ADD29FD8-2461-45E4-B8A8-2A21237FE975}" type="presParOf" srcId="{6B0A32C8-6FC0-4AF0-93C3-C11068E36395}" destId="{6255EAE5-513A-408B-8DD5-742B7DEE628D}" srcOrd="0" destOrd="0" presId="urn:microsoft.com/office/officeart/2005/8/layout/hierarchy6"/>
    <dgm:cxn modelId="{E5BCFFE4-E992-46C9-817C-32495BD59553}" type="presParOf" srcId="{6B0A32C8-6FC0-4AF0-93C3-C11068E36395}" destId="{1FC8EAF7-D2D3-4D87-91BD-7FF58CD162B7}" srcOrd="1" destOrd="0" presId="urn:microsoft.com/office/officeart/2005/8/layout/hierarchy6"/>
    <dgm:cxn modelId="{64A33AA0-F838-4FCC-8EB9-5E727390F818}" type="presParOf" srcId="{8406367F-96FF-42D8-858A-E7C56B2F8987}" destId="{55214DA3-0DDD-42E8-8934-6FB6B5BEB2E5}" srcOrd="2" destOrd="0" presId="urn:microsoft.com/office/officeart/2005/8/layout/hierarchy6"/>
    <dgm:cxn modelId="{EFA1DDBC-2161-4044-9B4C-5977F0632B69}" type="presParOf" srcId="{8406367F-96FF-42D8-858A-E7C56B2F8987}" destId="{D8B0D835-AE1B-4B3E-8A74-34138B7E8DE5}" srcOrd="3" destOrd="0" presId="urn:microsoft.com/office/officeart/2005/8/layout/hierarchy6"/>
    <dgm:cxn modelId="{36E45589-461A-45D8-9721-ED29CB7FC779}" type="presParOf" srcId="{D8B0D835-AE1B-4B3E-8A74-34138B7E8DE5}" destId="{4F2DDA44-3AB5-45BF-BCA7-8DB3E6F52CC5}" srcOrd="0" destOrd="0" presId="urn:microsoft.com/office/officeart/2005/8/layout/hierarchy6"/>
    <dgm:cxn modelId="{3B2B88AD-8C00-41F2-84C8-F4428F1CC4CF}" type="presParOf" srcId="{D8B0D835-AE1B-4B3E-8A74-34138B7E8DE5}" destId="{CF36A49F-A694-4F7E-B1E8-AD828F9AAF27}" srcOrd="1" destOrd="0" presId="urn:microsoft.com/office/officeart/2005/8/layout/hierarchy6"/>
    <dgm:cxn modelId="{7DDD21A2-6B02-4DB5-B2C7-CFC1C9B7D485}" type="presParOf" srcId="{CF36A49F-A694-4F7E-B1E8-AD828F9AAF27}" destId="{26B4EAD0-CBED-4D89-87AE-5EA8CDE8B92E}" srcOrd="0" destOrd="0" presId="urn:microsoft.com/office/officeart/2005/8/layout/hierarchy6"/>
    <dgm:cxn modelId="{B5A36991-9BAD-461F-B163-6BEDF90DD252}" type="presParOf" srcId="{CF36A49F-A694-4F7E-B1E8-AD828F9AAF27}" destId="{4F2E673E-A30D-49AD-A68A-D17B52834D0B}" srcOrd="1" destOrd="0" presId="urn:microsoft.com/office/officeart/2005/8/layout/hierarchy6"/>
    <dgm:cxn modelId="{78CBEBDE-953C-46A1-ACD6-C4D71BAD9891}" type="presParOf" srcId="{4F2E673E-A30D-49AD-A68A-D17B52834D0B}" destId="{1A5881B9-AC77-4282-B137-1D4FEA2A7B4F}" srcOrd="0" destOrd="0" presId="urn:microsoft.com/office/officeart/2005/8/layout/hierarchy6"/>
    <dgm:cxn modelId="{ED4AA884-DC89-4BE3-89EF-089AEAEFA5E6}" type="presParOf" srcId="{4F2E673E-A30D-49AD-A68A-D17B52834D0B}" destId="{3E365C4D-563C-4C9F-899D-9414558EC266}" srcOrd="1" destOrd="0" presId="urn:microsoft.com/office/officeart/2005/8/layout/hierarchy6"/>
    <dgm:cxn modelId="{01AA1FBC-882E-4F3D-9AC9-8467A2531436}" type="presParOf" srcId="{8406367F-96FF-42D8-858A-E7C56B2F8987}" destId="{DD8B3E2B-BF21-4A6B-A044-ACFD002F0E46}" srcOrd="4" destOrd="0" presId="urn:microsoft.com/office/officeart/2005/8/layout/hierarchy6"/>
    <dgm:cxn modelId="{8AA0579E-9107-4946-848F-ED8A0C86AAD4}" type="presParOf" srcId="{8406367F-96FF-42D8-858A-E7C56B2F8987}" destId="{8B6A07D6-C6D5-4CE6-981E-DB5C98BE6868}" srcOrd="5" destOrd="0" presId="urn:microsoft.com/office/officeart/2005/8/layout/hierarchy6"/>
    <dgm:cxn modelId="{0142628B-2B73-4806-8557-D673C5B63571}" type="presParOf" srcId="{8B6A07D6-C6D5-4CE6-981E-DB5C98BE6868}" destId="{C1C089A2-5CA0-4DF3-A60F-8B334C60ABD4}" srcOrd="0" destOrd="0" presId="urn:microsoft.com/office/officeart/2005/8/layout/hierarchy6"/>
    <dgm:cxn modelId="{572462FE-4005-4AD3-856F-38CC92258434}" type="presParOf" srcId="{8B6A07D6-C6D5-4CE6-981E-DB5C98BE6868}" destId="{E2253000-A733-48EF-B06D-8E19569BA047}" srcOrd="1" destOrd="0" presId="urn:microsoft.com/office/officeart/2005/8/layout/hierarchy6"/>
    <dgm:cxn modelId="{6DCE6BF2-77F0-4C75-81E0-801F79F76083}" type="presParOf" srcId="{E2253000-A733-48EF-B06D-8E19569BA047}" destId="{0EB4994A-7647-45DC-B52E-4DA40D0CF944}" srcOrd="0" destOrd="0" presId="urn:microsoft.com/office/officeart/2005/8/layout/hierarchy6"/>
    <dgm:cxn modelId="{4F8B2CD0-D755-4ED7-B317-423E09F36BEC}" type="presParOf" srcId="{E2253000-A733-48EF-B06D-8E19569BA047}" destId="{8A6BF6E4-A845-4CD2-9BC0-FFC97A01373F}" srcOrd="1" destOrd="0" presId="urn:microsoft.com/office/officeart/2005/8/layout/hierarchy6"/>
    <dgm:cxn modelId="{2A84313B-2A81-482D-8B1B-B8B7C3796FD5}" type="presParOf" srcId="{8A6BF6E4-A845-4CD2-9BC0-FFC97A01373F}" destId="{6B16A4B5-85F0-4DEF-AFAB-616A8D5DE01F}" srcOrd="0" destOrd="0" presId="urn:microsoft.com/office/officeart/2005/8/layout/hierarchy6"/>
    <dgm:cxn modelId="{317D5B8E-B16A-4305-A8EB-70613CCBFDC1}" type="presParOf" srcId="{8A6BF6E4-A845-4CD2-9BC0-FFC97A01373F}" destId="{DF8770E0-7876-4FFF-A83D-4C5E668252CE}" srcOrd="1" destOrd="0" presId="urn:microsoft.com/office/officeart/2005/8/layout/hierarchy6"/>
    <dgm:cxn modelId="{C6D8E40D-7845-4B98-B942-C7A35787D160}" type="presParOf" srcId="{8406367F-96FF-42D8-858A-E7C56B2F8987}" destId="{DD1A38C5-70E8-4DEF-A4E9-E0A728554583}" srcOrd="6" destOrd="0" presId="urn:microsoft.com/office/officeart/2005/8/layout/hierarchy6"/>
    <dgm:cxn modelId="{6557FDC8-3C5C-4889-B0C7-210F1F8C6704}" type="presParOf" srcId="{8406367F-96FF-42D8-858A-E7C56B2F8987}" destId="{33BFE59E-05A2-4A35-857A-6FC3758D0B52}" srcOrd="7" destOrd="0" presId="urn:microsoft.com/office/officeart/2005/8/layout/hierarchy6"/>
    <dgm:cxn modelId="{08EE873E-31DC-4D3C-8489-DBA8C57436C1}" type="presParOf" srcId="{33BFE59E-05A2-4A35-857A-6FC3758D0B52}" destId="{48AD90CB-194C-4935-8992-30B9F7ADCFE6}" srcOrd="0" destOrd="0" presId="urn:microsoft.com/office/officeart/2005/8/layout/hierarchy6"/>
    <dgm:cxn modelId="{BEF5D46E-7E45-40D5-BCEC-293FECF382C3}" type="presParOf" srcId="{33BFE59E-05A2-4A35-857A-6FC3758D0B52}" destId="{A25E37E7-958F-4347-82DA-D9DB0CF8E0D3}" srcOrd="1" destOrd="0" presId="urn:microsoft.com/office/officeart/2005/8/layout/hierarchy6"/>
    <dgm:cxn modelId="{98D42F90-EBF1-41E6-B8C1-5BFC0947011D}" type="presParOf" srcId="{A25E37E7-958F-4347-82DA-D9DB0CF8E0D3}" destId="{2FEF4291-381A-4B8B-B33A-2671A0D004B1}" srcOrd="0" destOrd="0" presId="urn:microsoft.com/office/officeart/2005/8/layout/hierarchy6"/>
    <dgm:cxn modelId="{52394E14-D199-4C59-AF5A-B581D6D12A3A}" type="presParOf" srcId="{A25E37E7-958F-4347-82DA-D9DB0CF8E0D3}" destId="{275B4F29-85B4-4113-866F-5A0EB189CC16}" srcOrd="1" destOrd="0" presId="urn:microsoft.com/office/officeart/2005/8/layout/hierarchy6"/>
    <dgm:cxn modelId="{1BC41C9D-2A03-43CC-A195-6D814F4A447E}" type="presParOf" srcId="{275B4F29-85B4-4113-866F-5A0EB189CC16}" destId="{F17C7F57-2A53-4B3C-BEF3-AB0A27B97ADD}" srcOrd="0" destOrd="0" presId="urn:microsoft.com/office/officeart/2005/8/layout/hierarchy6"/>
    <dgm:cxn modelId="{0CE21754-87E9-4595-BB2D-8E44DEC114BC}" type="presParOf" srcId="{275B4F29-85B4-4113-866F-5A0EB189CC16}" destId="{C57346D8-3A15-4C67-A5B3-72590E6E25B7}" srcOrd="1" destOrd="0" presId="urn:microsoft.com/office/officeart/2005/8/layout/hierarchy6"/>
    <dgm:cxn modelId="{82C66C7D-AB0C-4737-92EB-8CCCCA0D1E9B}" type="presParOf" srcId="{8406367F-96FF-42D8-858A-E7C56B2F8987}" destId="{268F187C-09D9-41B7-91A8-121E8E8C76B3}" srcOrd="8" destOrd="0" presId="urn:microsoft.com/office/officeart/2005/8/layout/hierarchy6"/>
    <dgm:cxn modelId="{FB39C267-7574-4C8F-A969-1A6EE196E7A8}" type="presParOf" srcId="{8406367F-96FF-42D8-858A-E7C56B2F8987}" destId="{AB1A5077-E758-475C-9D8F-E8877B5DC760}" srcOrd="9" destOrd="0" presId="urn:microsoft.com/office/officeart/2005/8/layout/hierarchy6"/>
    <dgm:cxn modelId="{61FA54B7-F4B8-445A-A975-043DD77AB6C8}" type="presParOf" srcId="{AB1A5077-E758-475C-9D8F-E8877B5DC760}" destId="{292772CE-24F7-40AB-9A74-1B486EC87B05}" srcOrd="0" destOrd="0" presId="urn:microsoft.com/office/officeart/2005/8/layout/hierarchy6"/>
    <dgm:cxn modelId="{062CD7BC-294B-470E-A837-F5AE3692F2FC}" type="presParOf" srcId="{AB1A5077-E758-475C-9D8F-E8877B5DC760}" destId="{A2720256-9871-41FD-9A53-26A178B7EA81}" srcOrd="1" destOrd="0" presId="urn:microsoft.com/office/officeart/2005/8/layout/hierarchy6"/>
    <dgm:cxn modelId="{69C3EEA1-0305-4DEE-BA9F-A0F8E18CB745}" type="presParOf" srcId="{A2720256-9871-41FD-9A53-26A178B7EA81}" destId="{997C0DAE-B8CE-4791-B9F2-EF3BEC6223DD}" srcOrd="0" destOrd="0" presId="urn:microsoft.com/office/officeart/2005/8/layout/hierarchy6"/>
    <dgm:cxn modelId="{369CCC99-3C35-4A69-95D3-E8AFEF389CBB}" type="presParOf" srcId="{A2720256-9871-41FD-9A53-26A178B7EA81}" destId="{74804BE1-BF96-4545-BBFA-0DCFACAFCB6B}" srcOrd="1" destOrd="0" presId="urn:microsoft.com/office/officeart/2005/8/layout/hierarchy6"/>
    <dgm:cxn modelId="{09B1E0D5-34CF-453E-80E0-B03939139A73}" type="presParOf" srcId="{74804BE1-BF96-4545-BBFA-0DCFACAFCB6B}" destId="{CC5ABC59-CAFD-45D5-8AB4-2995F3B1CF7B}" srcOrd="0" destOrd="0" presId="urn:microsoft.com/office/officeart/2005/8/layout/hierarchy6"/>
    <dgm:cxn modelId="{3D673884-1EAD-4FA9-BA9C-F6724B7FD15E}" type="presParOf" srcId="{74804BE1-BF96-4545-BBFA-0DCFACAFCB6B}" destId="{F385E851-ABF7-42D4-9372-845FBB9314FE}" srcOrd="1" destOrd="0" presId="urn:microsoft.com/office/officeart/2005/8/layout/hierarchy6"/>
    <dgm:cxn modelId="{130EBC49-D05E-477D-BB01-582F1AEC3C86}" type="presParOf" srcId="{F385E851-ABF7-42D4-9372-845FBB9314FE}" destId="{6C683169-6E07-46DE-806E-3DF7B0B07FDD}" srcOrd="0" destOrd="0" presId="urn:microsoft.com/office/officeart/2005/8/layout/hierarchy6"/>
    <dgm:cxn modelId="{34ACE193-5E58-4DFA-B8AB-38F981F1BB4A}" type="presParOf" srcId="{F385E851-ABF7-42D4-9372-845FBB9314FE}" destId="{BF615CF6-6D91-40D1-A00C-1A476EF9D196}" srcOrd="1" destOrd="0" presId="urn:microsoft.com/office/officeart/2005/8/layout/hierarchy6"/>
    <dgm:cxn modelId="{19019C32-230B-4626-A57F-F6367FEB238E}" type="presParOf" srcId="{BF615CF6-6D91-40D1-A00C-1A476EF9D196}" destId="{ABAF1F32-F523-43B5-9382-60B365F770DD}" srcOrd="0" destOrd="0" presId="urn:microsoft.com/office/officeart/2005/8/layout/hierarchy6"/>
    <dgm:cxn modelId="{E83EFF10-0F36-4671-B7CC-DA23F72844DF}" type="presParOf" srcId="{BF615CF6-6D91-40D1-A00C-1A476EF9D196}" destId="{A90B182E-D645-4DDC-9B59-35EE4CECAB7A}" srcOrd="1" destOrd="0" presId="urn:microsoft.com/office/officeart/2005/8/layout/hierarchy6"/>
    <dgm:cxn modelId="{ECA1EDBA-72AD-4128-811A-8CB1A46624F2}" type="presParOf" srcId="{F385E851-ABF7-42D4-9372-845FBB9314FE}" destId="{198BDA58-04F8-4C6E-9D8B-20599209C7DB}" srcOrd="2" destOrd="0" presId="urn:microsoft.com/office/officeart/2005/8/layout/hierarchy6"/>
    <dgm:cxn modelId="{B980BA80-5BC1-4FA2-BEC4-A770CC312D4B}" type="presParOf" srcId="{F385E851-ABF7-42D4-9372-845FBB9314FE}" destId="{325E82FF-179B-49B6-87B3-7BDE2AFCEB45}" srcOrd="3" destOrd="0" presId="urn:microsoft.com/office/officeart/2005/8/layout/hierarchy6"/>
    <dgm:cxn modelId="{B826F0FB-48C5-4C84-86EB-D9F4356401CE}" type="presParOf" srcId="{325E82FF-179B-49B6-87B3-7BDE2AFCEB45}" destId="{327CA70C-AE4F-4B6F-AF84-85FF42C86FDC}" srcOrd="0" destOrd="0" presId="urn:microsoft.com/office/officeart/2005/8/layout/hierarchy6"/>
    <dgm:cxn modelId="{00E321BE-39F4-4815-892E-47EEDF46E86A}" type="presParOf" srcId="{325E82FF-179B-49B6-87B3-7BDE2AFCEB45}" destId="{7D2A137A-FECC-465E-AFEF-EEC67AADE717}" srcOrd="1" destOrd="0" presId="urn:microsoft.com/office/officeart/2005/8/layout/hierarchy6"/>
    <dgm:cxn modelId="{D3779447-E17B-40D8-84BD-72E85E8F46F1}" type="presParOf" srcId="{F385E851-ABF7-42D4-9372-845FBB9314FE}" destId="{CAE8228E-4EC6-42D2-80E3-8BD65E6D5FA8}" srcOrd="4" destOrd="0" presId="urn:microsoft.com/office/officeart/2005/8/layout/hierarchy6"/>
    <dgm:cxn modelId="{7898C9A2-A63B-4DFD-8B35-BA8B01B54478}" type="presParOf" srcId="{F385E851-ABF7-42D4-9372-845FBB9314FE}" destId="{2299AE93-06C4-467B-8100-A53AF8585E8C}" srcOrd="5" destOrd="0" presId="urn:microsoft.com/office/officeart/2005/8/layout/hierarchy6"/>
    <dgm:cxn modelId="{5F622979-0DC7-4A4D-8A6A-F741E100C2ED}" type="presParOf" srcId="{2299AE93-06C4-467B-8100-A53AF8585E8C}" destId="{BCADBDCD-560B-4497-AC67-2D440ECD09E4}" srcOrd="0" destOrd="0" presId="urn:microsoft.com/office/officeart/2005/8/layout/hierarchy6"/>
    <dgm:cxn modelId="{0DC34953-8F77-41F7-A4FC-744A46F68EE4}" type="presParOf" srcId="{2299AE93-06C4-467B-8100-A53AF8585E8C}" destId="{77D7F252-E94F-40FD-BD4D-60060B70619B}" srcOrd="1" destOrd="0" presId="urn:microsoft.com/office/officeart/2005/8/layout/hierarchy6"/>
    <dgm:cxn modelId="{069D1EED-2D8B-4823-94C9-BA3B48FF8A39}" type="presParOf" srcId="{AB4BF517-83DA-4BA6-A9F8-0ADA0632681C}" destId="{6F013C2E-E79F-48DC-8314-AFF20B36092F}" srcOrd="1" destOrd="0" presId="urn:microsoft.com/office/officeart/2005/8/layout/hierarchy6"/>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DB070097-79C7-44DB-B8F8-8A5A02B1A03A}" type="doc">
      <dgm:prSet loTypeId="urn:microsoft.com/office/officeart/2005/8/layout/orgChart1" loCatId="hierarchy" qsTypeId="urn:microsoft.com/office/officeart/2005/8/quickstyle/simple1" qsCatId="simple" csTypeId="urn:microsoft.com/office/officeart/2005/8/colors/accent0_3" csCatId="mainScheme" phldr="1"/>
      <dgm:spPr/>
      <dgm:t>
        <a:bodyPr/>
        <a:lstStyle/>
        <a:p>
          <a:endParaRPr lang="zh-CN" altLang="en-US"/>
        </a:p>
      </dgm:t>
    </dgm:pt>
    <dgm:pt modelId="{5112BD9F-EC65-4828-8A31-D7F9623D5829}">
      <dgm:prSet phldrT="[文本]"/>
      <dgm:spPr/>
      <dgm:t>
        <a:bodyPr/>
        <a:lstStyle/>
        <a:p>
          <a:r>
            <a:rPr lang="en-US" altLang="zh-CN"/>
            <a:t>Excel</a:t>
          </a:r>
          <a:r>
            <a:rPr lang="zh-CN" altLang="en-US"/>
            <a:t>处理文本的方式</a:t>
          </a:r>
        </a:p>
      </dgm:t>
    </dgm:pt>
    <dgm:pt modelId="{850E2136-CA7E-4943-90F9-AD250450CA70}" type="parTrans" cxnId="{C3F87618-E9EC-4076-9A9E-7C9CC9C01C3B}">
      <dgm:prSet/>
      <dgm:spPr/>
      <dgm:t>
        <a:bodyPr/>
        <a:lstStyle/>
        <a:p>
          <a:endParaRPr lang="zh-CN" altLang="en-US"/>
        </a:p>
      </dgm:t>
    </dgm:pt>
    <dgm:pt modelId="{069C6C83-8B59-45C1-91D6-173C1DD072BB}" type="sibTrans" cxnId="{C3F87618-E9EC-4076-9A9E-7C9CC9C01C3B}">
      <dgm:prSet/>
      <dgm:spPr/>
      <dgm:t>
        <a:bodyPr/>
        <a:lstStyle/>
        <a:p>
          <a:endParaRPr lang="zh-CN" altLang="en-US"/>
        </a:p>
      </dgm:t>
    </dgm:pt>
    <dgm:pt modelId="{1438CAE8-A794-434C-B747-C654A91A7A48}">
      <dgm:prSet phldrT="[文本]" custT="1"/>
      <dgm:spPr/>
      <dgm:t>
        <a:bodyPr/>
        <a:lstStyle/>
        <a:p>
          <a:r>
            <a:rPr lang="zh-CN" altLang="en-US" sz="2000"/>
            <a:t>函数</a:t>
          </a:r>
          <a:r>
            <a:rPr lang="en-US" altLang="zh-CN" sz="1600"/>
            <a:t>mid,left,right,split,replace</a:t>
          </a:r>
          <a:endParaRPr lang="zh-CN" altLang="en-US" sz="2000"/>
        </a:p>
      </dgm:t>
    </dgm:pt>
    <dgm:pt modelId="{1B8211B4-D88B-4C9D-A878-DDAAE0D834C5}" type="parTrans" cxnId="{33D7CA3D-EEA1-4B1C-999A-875C6C59CDCA}">
      <dgm:prSet/>
      <dgm:spPr/>
      <dgm:t>
        <a:bodyPr/>
        <a:lstStyle/>
        <a:p>
          <a:endParaRPr lang="zh-CN" altLang="en-US"/>
        </a:p>
      </dgm:t>
    </dgm:pt>
    <dgm:pt modelId="{2AEB8793-7F42-41DF-86B1-C81446CFDBD9}" type="sibTrans" cxnId="{33D7CA3D-EEA1-4B1C-999A-875C6C59CDCA}">
      <dgm:prSet/>
      <dgm:spPr/>
      <dgm:t>
        <a:bodyPr/>
        <a:lstStyle/>
        <a:p>
          <a:endParaRPr lang="zh-CN" altLang="en-US"/>
        </a:p>
      </dgm:t>
    </dgm:pt>
    <dgm:pt modelId="{368E5A56-1474-4D91-B416-9EFF5D0A9813}">
      <dgm:prSet phldrT="[文本]"/>
      <dgm:spPr/>
      <dgm:t>
        <a:bodyPr/>
        <a:lstStyle/>
        <a:p>
          <a:r>
            <a:rPr lang="zh-CN" altLang="en-US"/>
            <a:t>正则表达</a:t>
          </a:r>
        </a:p>
      </dgm:t>
    </dgm:pt>
    <dgm:pt modelId="{AA621CD9-F7DC-4211-9061-2280642BF433}" type="parTrans" cxnId="{CC87C439-29C8-4B63-89C2-DA242BF684C0}">
      <dgm:prSet/>
      <dgm:spPr/>
      <dgm:t>
        <a:bodyPr/>
        <a:lstStyle/>
        <a:p>
          <a:endParaRPr lang="zh-CN" altLang="en-US"/>
        </a:p>
      </dgm:t>
    </dgm:pt>
    <dgm:pt modelId="{03CFFD7F-31CD-4334-8FF3-EFB996D3394A}" type="sibTrans" cxnId="{CC87C439-29C8-4B63-89C2-DA242BF684C0}">
      <dgm:prSet/>
      <dgm:spPr/>
      <dgm:t>
        <a:bodyPr/>
        <a:lstStyle/>
        <a:p>
          <a:endParaRPr lang="zh-CN" altLang="en-US"/>
        </a:p>
      </dgm:t>
    </dgm:pt>
    <dgm:pt modelId="{F2E5AC51-F684-4382-AC56-5BD9DEDC6A1D}">
      <dgm:prSet phldrT="[文本]"/>
      <dgm:spPr/>
      <dgm:t>
        <a:bodyPr/>
        <a:lstStyle/>
        <a:p>
          <a:r>
            <a:rPr lang="en-US" altLang="zh-CN"/>
            <a:t>xpath(</a:t>
          </a:r>
          <a:r>
            <a:rPr lang="zh-CN" altLang="en-US"/>
            <a:t>仅有</a:t>
          </a:r>
          <a:r>
            <a:rPr lang="en-US" altLang="zh-CN"/>
            <a:t>xml)</a:t>
          </a:r>
          <a:endParaRPr lang="zh-CN" altLang="en-US"/>
        </a:p>
      </dgm:t>
    </dgm:pt>
    <dgm:pt modelId="{AB110DC4-2ED8-43B2-B888-E5147A87FF4C}" type="parTrans" cxnId="{1B863C83-8168-46F5-B68B-30DEBED11B00}">
      <dgm:prSet/>
      <dgm:spPr/>
      <dgm:t>
        <a:bodyPr/>
        <a:lstStyle/>
        <a:p>
          <a:endParaRPr lang="zh-CN" altLang="en-US"/>
        </a:p>
      </dgm:t>
    </dgm:pt>
    <dgm:pt modelId="{EAA2F470-70EE-4A35-9710-7E8E232C7C45}" type="sibTrans" cxnId="{1B863C83-8168-46F5-B68B-30DEBED11B00}">
      <dgm:prSet/>
      <dgm:spPr/>
      <dgm:t>
        <a:bodyPr/>
        <a:lstStyle/>
        <a:p>
          <a:endParaRPr lang="zh-CN" altLang="en-US"/>
        </a:p>
      </dgm:t>
    </dgm:pt>
    <dgm:pt modelId="{70431AD3-5EC0-4F60-BEEE-73529E398B1C}">
      <dgm:prSet phldrT="[文本]" custT="1"/>
      <dgm:spPr/>
      <dgm:t>
        <a:bodyPr/>
        <a:lstStyle/>
        <a:p>
          <a:r>
            <a:rPr lang="zh-CN" altLang="en-US" sz="2000"/>
            <a:t>分列，替换，查找</a:t>
          </a:r>
        </a:p>
      </dgm:t>
    </dgm:pt>
    <dgm:pt modelId="{F426874E-34C4-43DD-892B-D0975F1C2A8E}" type="parTrans" cxnId="{F6888B43-6595-483F-80B0-7C133454A359}">
      <dgm:prSet/>
      <dgm:spPr/>
      <dgm:t>
        <a:bodyPr/>
        <a:lstStyle/>
        <a:p>
          <a:endParaRPr lang="zh-CN" altLang="en-US"/>
        </a:p>
      </dgm:t>
    </dgm:pt>
    <dgm:pt modelId="{FC69734B-175A-4099-8673-DB387B591D82}" type="sibTrans" cxnId="{F6888B43-6595-483F-80B0-7C133454A359}">
      <dgm:prSet/>
      <dgm:spPr/>
      <dgm:t>
        <a:bodyPr/>
        <a:lstStyle/>
        <a:p>
          <a:endParaRPr lang="zh-CN" altLang="en-US"/>
        </a:p>
      </dgm:t>
    </dgm:pt>
    <dgm:pt modelId="{4FE12E21-F1C7-4920-ACFC-6AE9E365E655}" type="pres">
      <dgm:prSet presAssocID="{DB070097-79C7-44DB-B8F8-8A5A02B1A03A}" presName="hierChild1" presStyleCnt="0">
        <dgm:presLayoutVars>
          <dgm:orgChart val="1"/>
          <dgm:chPref val="1"/>
          <dgm:dir/>
          <dgm:animOne val="branch"/>
          <dgm:animLvl val="lvl"/>
          <dgm:resizeHandles/>
        </dgm:presLayoutVars>
      </dgm:prSet>
      <dgm:spPr/>
      <dgm:t>
        <a:bodyPr/>
        <a:lstStyle/>
        <a:p>
          <a:endParaRPr lang="zh-CN" altLang="en-US"/>
        </a:p>
      </dgm:t>
    </dgm:pt>
    <dgm:pt modelId="{1A293306-EFBE-4204-B6A8-8F33944630A2}" type="pres">
      <dgm:prSet presAssocID="{5112BD9F-EC65-4828-8A31-D7F9623D5829}" presName="hierRoot1" presStyleCnt="0">
        <dgm:presLayoutVars>
          <dgm:hierBranch val="init"/>
        </dgm:presLayoutVars>
      </dgm:prSet>
      <dgm:spPr/>
      <dgm:t>
        <a:bodyPr/>
        <a:lstStyle/>
        <a:p>
          <a:endParaRPr lang="zh-CN" altLang="en-US"/>
        </a:p>
      </dgm:t>
    </dgm:pt>
    <dgm:pt modelId="{0E25CF80-4244-4F25-BFDE-9E0807AD1C5D}" type="pres">
      <dgm:prSet presAssocID="{5112BD9F-EC65-4828-8A31-D7F9623D5829}" presName="rootComposite1" presStyleCnt="0"/>
      <dgm:spPr/>
      <dgm:t>
        <a:bodyPr/>
        <a:lstStyle/>
        <a:p>
          <a:endParaRPr lang="zh-CN" altLang="en-US"/>
        </a:p>
      </dgm:t>
    </dgm:pt>
    <dgm:pt modelId="{9B64E602-806C-4891-A60C-B3EF307EF2F4}" type="pres">
      <dgm:prSet presAssocID="{5112BD9F-EC65-4828-8A31-D7F9623D5829}" presName="rootText1" presStyleLbl="node0" presStyleIdx="0" presStyleCnt="1">
        <dgm:presLayoutVars>
          <dgm:chPref val="3"/>
        </dgm:presLayoutVars>
      </dgm:prSet>
      <dgm:spPr/>
      <dgm:t>
        <a:bodyPr/>
        <a:lstStyle/>
        <a:p>
          <a:endParaRPr lang="zh-CN" altLang="en-US"/>
        </a:p>
      </dgm:t>
    </dgm:pt>
    <dgm:pt modelId="{73520EB9-7BBD-42CB-9AD6-D9910FD82307}" type="pres">
      <dgm:prSet presAssocID="{5112BD9F-EC65-4828-8A31-D7F9623D5829}" presName="rootConnector1" presStyleLbl="node1" presStyleIdx="0" presStyleCnt="0"/>
      <dgm:spPr/>
      <dgm:t>
        <a:bodyPr/>
        <a:lstStyle/>
        <a:p>
          <a:endParaRPr lang="zh-CN" altLang="en-US"/>
        </a:p>
      </dgm:t>
    </dgm:pt>
    <dgm:pt modelId="{6063971C-A9D6-477B-A407-E5A323C370FB}" type="pres">
      <dgm:prSet presAssocID="{5112BD9F-EC65-4828-8A31-D7F9623D5829}" presName="hierChild2" presStyleCnt="0"/>
      <dgm:spPr/>
      <dgm:t>
        <a:bodyPr/>
        <a:lstStyle/>
        <a:p>
          <a:endParaRPr lang="zh-CN" altLang="en-US"/>
        </a:p>
      </dgm:t>
    </dgm:pt>
    <dgm:pt modelId="{AD09A309-96A7-4137-826A-55143302F389}" type="pres">
      <dgm:prSet presAssocID="{F426874E-34C4-43DD-892B-D0975F1C2A8E}" presName="Name37" presStyleLbl="parChTrans1D2" presStyleIdx="0" presStyleCnt="4"/>
      <dgm:spPr/>
      <dgm:t>
        <a:bodyPr/>
        <a:lstStyle/>
        <a:p>
          <a:endParaRPr lang="zh-CN" altLang="en-US"/>
        </a:p>
      </dgm:t>
    </dgm:pt>
    <dgm:pt modelId="{F567042B-E51C-4E2B-9376-A1DAE511497C}" type="pres">
      <dgm:prSet presAssocID="{70431AD3-5EC0-4F60-BEEE-73529E398B1C}" presName="hierRoot2" presStyleCnt="0">
        <dgm:presLayoutVars>
          <dgm:hierBranch val="init"/>
        </dgm:presLayoutVars>
      </dgm:prSet>
      <dgm:spPr/>
      <dgm:t>
        <a:bodyPr/>
        <a:lstStyle/>
        <a:p>
          <a:endParaRPr lang="zh-CN" altLang="en-US"/>
        </a:p>
      </dgm:t>
    </dgm:pt>
    <dgm:pt modelId="{DFC3C238-67C2-4E0E-AA77-E3BABA0DCCF8}" type="pres">
      <dgm:prSet presAssocID="{70431AD3-5EC0-4F60-BEEE-73529E398B1C}" presName="rootComposite" presStyleCnt="0"/>
      <dgm:spPr/>
      <dgm:t>
        <a:bodyPr/>
        <a:lstStyle/>
        <a:p>
          <a:endParaRPr lang="zh-CN" altLang="en-US"/>
        </a:p>
      </dgm:t>
    </dgm:pt>
    <dgm:pt modelId="{7F8CE5CD-2646-4243-8C1F-9E719581165A}" type="pres">
      <dgm:prSet presAssocID="{70431AD3-5EC0-4F60-BEEE-73529E398B1C}" presName="rootText" presStyleLbl="node2" presStyleIdx="0" presStyleCnt="4">
        <dgm:presLayoutVars>
          <dgm:chPref val="3"/>
        </dgm:presLayoutVars>
      </dgm:prSet>
      <dgm:spPr/>
      <dgm:t>
        <a:bodyPr/>
        <a:lstStyle/>
        <a:p>
          <a:endParaRPr lang="zh-CN" altLang="en-US"/>
        </a:p>
      </dgm:t>
    </dgm:pt>
    <dgm:pt modelId="{6D02A2CE-90ED-4CEC-B2B3-811F553A7A2C}" type="pres">
      <dgm:prSet presAssocID="{70431AD3-5EC0-4F60-BEEE-73529E398B1C}" presName="rootConnector" presStyleLbl="node2" presStyleIdx="0" presStyleCnt="4"/>
      <dgm:spPr/>
      <dgm:t>
        <a:bodyPr/>
        <a:lstStyle/>
        <a:p>
          <a:endParaRPr lang="zh-CN" altLang="en-US"/>
        </a:p>
      </dgm:t>
    </dgm:pt>
    <dgm:pt modelId="{2D9CC0A4-0388-45FB-BC21-BBF78B781643}" type="pres">
      <dgm:prSet presAssocID="{70431AD3-5EC0-4F60-BEEE-73529E398B1C}" presName="hierChild4" presStyleCnt="0"/>
      <dgm:spPr/>
      <dgm:t>
        <a:bodyPr/>
        <a:lstStyle/>
        <a:p>
          <a:endParaRPr lang="zh-CN" altLang="en-US"/>
        </a:p>
      </dgm:t>
    </dgm:pt>
    <dgm:pt modelId="{ABD1BA1F-C773-462B-95AA-EDE50DA9334B}" type="pres">
      <dgm:prSet presAssocID="{70431AD3-5EC0-4F60-BEEE-73529E398B1C}" presName="hierChild5" presStyleCnt="0"/>
      <dgm:spPr/>
      <dgm:t>
        <a:bodyPr/>
        <a:lstStyle/>
        <a:p>
          <a:endParaRPr lang="zh-CN" altLang="en-US"/>
        </a:p>
      </dgm:t>
    </dgm:pt>
    <dgm:pt modelId="{04317657-3537-4291-B06A-E7D5E4DF87F7}" type="pres">
      <dgm:prSet presAssocID="{1B8211B4-D88B-4C9D-A878-DDAAE0D834C5}" presName="Name37" presStyleLbl="parChTrans1D2" presStyleIdx="1" presStyleCnt="4"/>
      <dgm:spPr/>
      <dgm:t>
        <a:bodyPr/>
        <a:lstStyle/>
        <a:p>
          <a:endParaRPr lang="zh-CN" altLang="en-US"/>
        </a:p>
      </dgm:t>
    </dgm:pt>
    <dgm:pt modelId="{9F21F8A1-1EDB-4F06-8716-98BEDC5D136E}" type="pres">
      <dgm:prSet presAssocID="{1438CAE8-A794-434C-B747-C654A91A7A48}" presName="hierRoot2" presStyleCnt="0">
        <dgm:presLayoutVars>
          <dgm:hierBranch val="init"/>
        </dgm:presLayoutVars>
      </dgm:prSet>
      <dgm:spPr/>
      <dgm:t>
        <a:bodyPr/>
        <a:lstStyle/>
        <a:p>
          <a:endParaRPr lang="zh-CN" altLang="en-US"/>
        </a:p>
      </dgm:t>
    </dgm:pt>
    <dgm:pt modelId="{1D98A577-4532-4757-BBDD-7BEB976D11FD}" type="pres">
      <dgm:prSet presAssocID="{1438CAE8-A794-434C-B747-C654A91A7A48}" presName="rootComposite" presStyleCnt="0"/>
      <dgm:spPr/>
      <dgm:t>
        <a:bodyPr/>
        <a:lstStyle/>
        <a:p>
          <a:endParaRPr lang="zh-CN" altLang="en-US"/>
        </a:p>
      </dgm:t>
    </dgm:pt>
    <dgm:pt modelId="{F705FCC5-7DA4-4052-97F8-E266457DE5A5}" type="pres">
      <dgm:prSet presAssocID="{1438CAE8-A794-434C-B747-C654A91A7A48}" presName="rootText" presStyleLbl="node2" presStyleIdx="1" presStyleCnt="4">
        <dgm:presLayoutVars>
          <dgm:chPref val="3"/>
        </dgm:presLayoutVars>
      </dgm:prSet>
      <dgm:spPr/>
      <dgm:t>
        <a:bodyPr/>
        <a:lstStyle/>
        <a:p>
          <a:endParaRPr lang="zh-CN" altLang="en-US"/>
        </a:p>
      </dgm:t>
    </dgm:pt>
    <dgm:pt modelId="{3E6419CA-EFDD-4B27-B22F-8AC5210B0DCC}" type="pres">
      <dgm:prSet presAssocID="{1438CAE8-A794-434C-B747-C654A91A7A48}" presName="rootConnector" presStyleLbl="node2" presStyleIdx="1" presStyleCnt="4"/>
      <dgm:spPr/>
      <dgm:t>
        <a:bodyPr/>
        <a:lstStyle/>
        <a:p>
          <a:endParaRPr lang="zh-CN" altLang="en-US"/>
        </a:p>
      </dgm:t>
    </dgm:pt>
    <dgm:pt modelId="{CC836229-4BB2-467B-B28F-D3AD93D84905}" type="pres">
      <dgm:prSet presAssocID="{1438CAE8-A794-434C-B747-C654A91A7A48}" presName="hierChild4" presStyleCnt="0"/>
      <dgm:spPr/>
      <dgm:t>
        <a:bodyPr/>
        <a:lstStyle/>
        <a:p>
          <a:endParaRPr lang="zh-CN" altLang="en-US"/>
        </a:p>
      </dgm:t>
    </dgm:pt>
    <dgm:pt modelId="{F5DAC589-D431-4C86-B532-69FA42DD5A48}" type="pres">
      <dgm:prSet presAssocID="{1438CAE8-A794-434C-B747-C654A91A7A48}" presName="hierChild5" presStyleCnt="0"/>
      <dgm:spPr/>
      <dgm:t>
        <a:bodyPr/>
        <a:lstStyle/>
        <a:p>
          <a:endParaRPr lang="zh-CN" altLang="en-US"/>
        </a:p>
      </dgm:t>
    </dgm:pt>
    <dgm:pt modelId="{2536FCF6-D15D-4140-80C1-95927321EECF}" type="pres">
      <dgm:prSet presAssocID="{AA621CD9-F7DC-4211-9061-2280642BF433}" presName="Name37" presStyleLbl="parChTrans1D2" presStyleIdx="2" presStyleCnt="4"/>
      <dgm:spPr/>
      <dgm:t>
        <a:bodyPr/>
        <a:lstStyle/>
        <a:p>
          <a:endParaRPr lang="zh-CN" altLang="en-US"/>
        </a:p>
      </dgm:t>
    </dgm:pt>
    <dgm:pt modelId="{D402B62B-AAEB-4593-B9D5-0F896B25E00B}" type="pres">
      <dgm:prSet presAssocID="{368E5A56-1474-4D91-B416-9EFF5D0A9813}" presName="hierRoot2" presStyleCnt="0">
        <dgm:presLayoutVars>
          <dgm:hierBranch val="init"/>
        </dgm:presLayoutVars>
      </dgm:prSet>
      <dgm:spPr/>
      <dgm:t>
        <a:bodyPr/>
        <a:lstStyle/>
        <a:p>
          <a:endParaRPr lang="zh-CN" altLang="en-US"/>
        </a:p>
      </dgm:t>
    </dgm:pt>
    <dgm:pt modelId="{D030E87F-BA42-491A-93D5-F4CB55EB9F2F}" type="pres">
      <dgm:prSet presAssocID="{368E5A56-1474-4D91-B416-9EFF5D0A9813}" presName="rootComposite" presStyleCnt="0"/>
      <dgm:spPr/>
      <dgm:t>
        <a:bodyPr/>
        <a:lstStyle/>
        <a:p>
          <a:endParaRPr lang="zh-CN" altLang="en-US"/>
        </a:p>
      </dgm:t>
    </dgm:pt>
    <dgm:pt modelId="{9D4B7093-1614-4838-B298-F342A44FB51D}" type="pres">
      <dgm:prSet presAssocID="{368E5A56-1474-4D91-B416-9EFF5D0A9813}" presName="rootText" presStyleLbl="node2" presStyleIdx="2" presStyleCnt="4">
        <dgm:presLayoutVars>
          <dgm:chPref val="3"/>
        </dgm:presLayoutVars>
      </dgm:prSet>
      <dgm:spPr/>
      <dgm:t>
        <a:bodyPr/>
        <a:lstStyle/>
        <a:p>
          <a:endParaRPr lang="zh-CN" altLang="en-US"/>
        </a:p>
      </dgm:t>
    </dgm:pt>
    <dgm:pt modelId="{0B4192CB-7BDE-4CEA-BA57-0DBFDB822E3D}" type="pres">
      <dgm:prSet presAssocID="{368E5A56-1474-4D91-B416-9EFF5D0A9813}" presName="rootConnector" presStyleLbl="node2" presStyleIdx="2" presStyleCnt="4"/>
      <dgm:spPr/>
      <dgm:t>
        <a:bodyPr/>
        <a:lstStyle/>
        <a:p>
          <a:endParaRPr lang="zh-CN" altLang="en-US"/>
        </a:p>
      </dgm:t>
    </dgm:pt>
    <dgm:pt modelId="{C10CF2B9-6EC5-4562-90B0-17CDD6D5EE14}" type="pres">
      <dgm:prSet presAssocID="{368E5A56-1474-4D91-B416-9EFF5D0A9813}" presName="hierChild4" presStyleCnt="0"/>
      <dgm:spPr/>
      <dgm:t>
        <a:bodyPr/>
        <a:lstStyle/>
        <a:p>
          <a:endParaRPr lang="zh-CN" altLang="en-US"/>
        </a:p>
      </dgm:t>
    </dgm:pt>
    <dgm:pt modelId="{A31008D6-BFC9-425C-AA6C-C48D8C42CD8F}" type="pres">
      <dgm:prSet presAssocID="{368E5A56-1474-4D91-B416-9EFF5D0A9813}" presName="hierChild5" presStyleCnt="0"/>
      <dgm:spPr/>
      <dgm:t>
        <a:bodyPr/>
        <a:lstStyle/>
        <a:p>
          <a:endParaRPr lang="zh-CN" altLang="en-US"/>
        </a:p>
      </dgm:t>
    </dgm:pt>
    <dgm:pt modelId="{81BFDC33-972F-4C52-BB8B-C1D174C58B51}" type="pres">
      <dgm:prSet presAssocID="{AB110DC4-2ED8-43B2-B888-E5147A87FF4C}" presName="Name37" presStyleLbl="parChTrans1D2" presStyleIdx="3" presStyleCnt="4"/>
      <dgm:spPr/>
      <dgm:t>
        <a:bodyPr/>
        <a:lstStyle/>
        <a:p>
          <a:endParaRPr lang="zh-CN" altLang="en-US"/>
        </a:p>
      </dgm:t>
    </dgm:pt>
    <dgm:pt modelId="{E334D9EB-D331-46E7-85C3-97D5FC067C27}" type="pres">
      <dgm:prSet presAssocID="{F2E5AC51-F684-4382-AC56-5BD9DEDC6A1D}" presName="hierRoot2" presStyleCnt="0">
        <dgm:presLayoutVars>
          <dgm:hierBranch val="init"/>
        </dgm:presLayoutVars>
      </dgm:prSet>
      <dgm:spPr/>
      <dgm:t>
        <a:bodyPr/>
        <a:lstStyle/>
        <a:p>
          <a:endParaRPr lang="zh-CN" altLang="en-US"/>
        </a:p>
      </dgm:t>
    </dgm:pt>
    <dgm:pt modelId="{9DE828B5-7810-4FA0-AB52-DF7BD85388FD}" type="pres">
      <dgm:prSet presAssocID="{F2E5AC51-F684-4382-AC56-5BD9DEDC6A1D}" presName="rootComposite" presStyleCnt="0"/>
      <dgm:spPr/>
      <dgm:t>
        <a:bodyPr/>
        <a:lstStyle/>
        <a:p>
          <a:endParaRPr lang="zh-CN" altLang="en-US"/>
        </a:p>
      </dgm:t>
    </dgm:pt>
    <dgm:pt modelId="{A5F0EBFD-5DBA-4EBA-B5BA-F41E0BB225C9}" type="pres">
      <dgm:prSet presAssocID="{F2E5AC51-F684-4382-AC56-5BD9DEDC6A1D}" presName="rootText" presStyleLbl="node2" presStyleIdx="3" presStyleCnt="4">
        <dgm:presLayoutVars>
          <dgm:chPref val="3"/>
        </dgm:presLayoutVars>
      </dgm:prSet>
      <dgm:spPr/>
      <dgm:t>
        <a:bodyPr/>
        <a:lstStyle/>
        <a:p>
          <a:endParaRPr lang="zh-CN" altLang="en-US"/>
        </a:p>
      </dgm:t>
    </dgm:pt>
    <dgm:pt modelId="{792E9D5E-3198-46D5-BE40-3207BA1443D0}" type="pres">
      <dgm:prSet presAssocID="{F2E5AC51-F684-4382-AC56-5BD9DEDC6A1D}" presName="rootConnector" presStyleLbl="node2" presStyleIdx="3" presStyleCnt="4"/>
      <dgm:spPr/>
      <dgm:t>
        <a:bodyPr/>
        <a:lstStyle/>
        <a:p>
          <a:endParaRPr lang="zh-CN" altLang="en-US"/>
        </a:p>
      </dgm:t>
    </dgm:pt>
    <dgm:pt modelId="{C6981ADF-249E-4C80-B1B8-6904A1D38311}" type="pres">
      <dgm:prSet presAssocID="{F2E5AC51-F684-4382-AC56-5BD9DEDC6A1D}" presName="hierChild4" presStyleCnt="0"/>
      <dgm:spPr/>
      <dgm:t>
        <a:bodyPr/>
        <a:lstStyle/>
        <a:p>
          <a:endParaRPr lang="zh-CN" altLang="en-US"/>
        </a:p>
      </dgm:t>
    </dgm:pt>
    <dgm:pt modelId="{B1273B7A-905C-4BDB-8C1F-0AE02FEDB687}" type="pres">
      <dgm:prSet presAssocID="{F2E5AC51-F684-4382-AC56-5BD9DEDC6A1D}" presName="hierChild5" presStyleCnt="0"/>
      <dgm:spPr/>
      <dgm:t>
        <a:bodyPr/>
        <a:lstStyle/>
        <a:p>
          <a:endParaRPr lang="zh-CN" altLang="en-US"/>
        </a:p>
      </dgm:t>
    </dgm:pt>
    <dgm:pt modelId="{4767DBB1-044F-48A9-AB9D-F633632EA502}" type="pres">
      <dgm:prSet presAssocID="{5112BD9F-EC65-4828-8A31-D7F9623D5829}" presName="hierChild3" presStyleCnt="0"/>
      <dgm:spPr/>
      <dgm:t>
        <a:bodyPr/>
        <a:lstStyle/>
        <a:p>
          <a:endParaRPr lang="zh-CN" altLang="en-US"/>
        </a:p>
      </dgm:t>
    </dgm:pt>
  </dgm:ptLst>
  <dgm:cxnLst>
    <dgm:cxn modelId="{34CCDFCC-104D-49AD-A1FF-94561B70BD1F}" type="presOf" srcId="{AB110DC4-2ED8-43B2-B888-E5147A87FF4C}" destId="{81BFDC33-972F-4C52-BB8B-C1D174C58B51}" srcOrd="0" destOrd="0" presId="urn:microsoft.com/office/officeart/2005/8/layout/orgChart1"/>
    <dgm:cxn modelId="{F4A7C750-CDEA-4973-835A-C747F990BE84}" type="presOf" srcId="{F2E5AC51-F684-4382-AC56-5BD9DEDC6A1D}" destId="{792E9D5E-3198-46D5-BE40-3207BA1443D0}" srcOrd="1" destOrd="0" presId="urn:microsoft.com/office/officeart/2005/8/layout/orgChart1"/>
    <dgm:cxn modelId="{5237229D-5614-43E5-B943-9BEC6AD4F2A3}" type="presOf" srcId="{5112BD9F-EC65-4828-8A31-D7F9623D5829}" destId="{9B64E602-806C-4891-A60C-B3EF307EF2F4}" srcOrd="0" destOrd="0" presId="urn:microsoft.com/office/officeart/2005/8/layout/orgChart1"/>
    <dgm:cxn modelId="{BCD85A43-0CAD-4886-8D00-CC205053E3E4}" type="presOf" srcId="{368E5A56-1474-4D91-B416-9EFF5D0A9813}" destId="{9D4B7093-1614-4838-B298-F342A44FB51D}" srcOrd="0" destOrd="0" presId="urn:microsoft.com/office/officeart/2005/8/layout/orgChart1"/>
    <dgm:cxn modelId="{8D6F7E4D-85DC-4920-B189-999C674A088C}" type="presOf" srcId="{1438CAE8-A794-434C-B747-C654A91A7A48}" destId="{3E6419CA-EFDD-4B27-B22F-8AC5210B0DCC}" srcOrd="1" destOrd="0" presId="urn:microsoft.com/office/officeart/2005/8/layout/orgChart1"/>
    <dgm:cxn modelId="{D29E1A66-BA39-4F79-BFEC-874096A7E5FB}" type="presOf" srcId="{1B8211B4-D88B-4C9D-A878-DDAAE0D834C5}" destId="{04317657-3537-4291-B06A-E7D5E4DF87F7}" srcOrd="0" destOrd="0" presId="urn:microsoft.com/office/officeart/2005/8/layout/orgChart1"/>
    <dgm:cxn modelId="{BE83715F-5AC0-402A-BDE8-088903B5AC5D}" type="presOf" srcId="{368E5A56-1474-4D91-B416-9EFF5D0A9813}" destId="{0B4192CB-7BDE-4CEA-BA57-0DBFDB822E3D}" srcOrd="1" destOrd="0" presId="urn:microsoft.com/office/officeart/2005/8/layout/orgChart1"/>
    <dgm:cxn modelId="{C3F87618-E9EC-4076-9A9E-7C9CC9C01C3B}" srcId="{DB070097-79C7-44DB-B8F8-8A5A02B1A03A}" destId="{5112BD9F-EC65-4828-8A31-D7F9623D5829}" srcOrd="0" destOrd="0" parTransId="{850E2136-CA7E-4943-90F9-AD250450CA70}" sibTransId="{069C6C83-8B59-45C1-91D6-173C1DD072BB}"/>
    <dgm:cxn modelId="{1FE707A3-4F90-4898-B6B8-3436DE3A45C6}" type="presOf" srcId="{F426874E-34C4-43DD-892B-D0975F1C2A8E}" destId="{AD09A309-96A7-4137-826A-55143302F389}" srcOrd="0" destOrd="0" presId="urn:microsoft.com/office/officeart/2005/8/layout/orgChart1"/>
    <dgm:cxn modelId="{7C24038F-17E2-474E-B067-AEF300926716}" type="presOf" srcId="{70431AD3-5EC0-4F60-BEEE-73529E398B1C}" destId="{7F8CE5CD-2646-4243-8C1F-9E719581165A}" srcOrd="0" destOrd="0" presId="urn:microsoft.com/office/officeart/2005/8/layout/orgChart1"/>
    <dgm:cxn modelId="{9ECA0B20-37D9-44A9-B4D6-AF731F8E4FB9}" type="presOf" srcId="{70431AD3-5EC0-4F60-BEEE-73529E398B1C}" destId="{6D02A2CE-90ED-4CEC-B2B3-811F553A7A2C}" srcOrd="1" destOrd="0" presId="urn:microsoft.com/office/officeart/2005/8/layout/orgChart1"/>
    <dgm:cxn modelId="{A48FD698-412F-4697-9611-BD84CC32439D}" type="presOf" srcId="{5112BD9F-EC65-4828-8A31-D7F9623D5829}" destId="{73520EB9-7BBD-42CB-9AD6-D9910FD82307}" srcOrd="1" destOrd="0" presId="urn:microsoft.com/office/officeart/2005/8/layout/orgChart1"/>
    <dgm:cxn modelId="{F6888B43-6595-483F-80B0-7C133454A359}" srcId="{5112BD9F-EC65-4828-8A31-D7F9623D5829}" destId="{70431AD3-5EC0-4F60-BEEE-73529E398B1C}" srcOrd="0" destOrd="0" parTransId="{F426874E-34C4-43DD-892B-D0975F1C2A8E}" sibTransId="{FC69734B-175A-4099-8673-DB387B591D82}"/>
    <dgm:cxn modelId="{B13DE472-DA74-4287-B67D-C1C7F05B8C11}" type="presOf" srcId="{AA621CD9-F7DC-4211-9061-2280642BF433}" destId="{2536FCF6-D15D-4140-80C1-95927321EECF}" srcOrd="0" destOrd="0" presId="urn:microsoft.com/office/officeart/2005/8/layout/orgChart1"/>
    <dgm:cxn modelId="{CC87C439-29C8-4B63-89C2-DA242BF684C0}" srcId="{5112BD9F-EC65-4828-8A31-D7F9623D5829}" destId="{368E5A56-1474-4D91-B416-9EFF5D0A9813}" srcOrd="2" destOrd="0" parTransId="{AA621CD9-F7DC-4211-9061-2280642BF433}" sibTransId="{03CFFD7F-31CD-4334-8FF3-EFB996D3394A}"/>
    <dgm:cxn modelId="{B6E62F8F-4D73-407D-BEAA-2705A1D28062}" type="presOf" srcId="{F2E5AC51-F684-4382-AC56-5BD9DEDC6A1D}" destId="{A5F0EBFD-5DBA-4EBA-B5BA-F41E0BB225C9}" srcOrd="0" destOrd="0" presId="urn:microsoft.com/office/officeart/2005/8/layout/orgChart1"/>
    <dgm:cxn modelId="{1B863C83-8168-46F5-B68B-30DEBED11B00}" srcId="{5112BD9F-EC65-4828-8A31-D7F9623D5829}" destId="{F2E5AC51-F684-4382-AC56-5BD9DEDC6A1D}" srcOrd="3" destOrd="0" parTransId="{AB110DC4-2ED8-43B2-B888-E5147A87FF4C}" sibTransId="{EAA2F470-70EE-4A35-9710-7E8E232C7C45}"/>
    <dgm:cxn modelId="{A4F0263A-8A77-4D87-B368-E5F34526EB56}" type="presOf" srcId="{1438CAE8-A794-434C-B747-C654A91A7A48}" destId="{F705FCC5-7DA4-4052-97F8-E266457DE5A5}" srcOrd="0" destOrd="0" presId="urn:microsoft.com/office/officeart/2005/8/layout/orgChart1"/>
    <dgm:cxn modelId="{33D7CA3D-EEA1-4B1C-999A-875C6C59CDCA}" srcId="{5112BD9F-EC65-4828-8A31-D7F9623D5829}" destId="{1438CAE8-A794-434C-B747-C654A91A7A48}" srcOrd="1" destOrd="0" parTransId="{1B8211B4-D88B-4C9D-A878-DDAAE0D834C5}" sibTransId="{2AEB8793-7F42-41DF-86B1-C81446CFDBD9}"/>
    <dgm:cxn modelId="{5BFDDE6B-0EF4-4CBE-99DB-AEB62CC9B055}" type="presOf" srcId="{DB070097-79C7-44DB-B8F8-8A5A02B1A03A}" destId="{4FE12E21-F1C7-4920-ACFC-6AE9E365E655}" srcOrd="0" destOrd="0" presId="urn:microsoft.com/office/officeart/2005/8/layout/orgChart1"/>
    <dgm:cxn modelId="{DB4C8357-3887-400C-A8BD-9EC51545A9E5}" type="presParOf" srcId="{4FE12E21-F1C7-4920-ACFC-6AE9E365E655}" destId="{1A293306-EFBE-4204-B6A8-8F33944630A2}" srcOrd="0" destOrd="0" presId="urn:microsoft.com/office/officeart/2005/8/layout/orgChart1"/>
    <dgm:cxn modelId="{4F28F240-B213-4C59-B993-F1978C50B7C6}" type="presParOf" srcId="{1A293306-EFBE-4204-B6A8-8F33944630A2}" destId="{0E25CF80-4244-4F25-BFDE-9E0807AD1C5D}" srcOrd="0" destOrd="0" presId="urn:microsoft.com/office/officeart/2005/8/layout/orgChart1"/>
    <dgm:cxn modelId="{E62038C9-04AD-4789-92D6-FE9799FC4D8C}" type="presParOf" srcId="{0E25CF80-4244-4F25-BFDE-9E0807AD1C5D}" destId="{9B64E602-806C-4891-A60C-B3EF307EF2F4}" srcOrd="0" destOrd="0" presId="urn:microsoft.com/office/officeart/2005/8/layout/orgChart1"/>
    <dgm:cxn modelId="{D8335524-89AD-4884-93EC-24A80FB6DBC1}" type="presParOf" srcId="{0E25CF80-4244-4F25-BFDE-9E0807AD1C5D}" destId="{73520EB9-7BBD-42CB-9AD6-D9910FD82307}" srcOrd="1" destOrd="0" presId="urn:microsoft.com/office/officeart/2005/8/layout/orgChart1"/>
    <dgm:cxn modelId="{230EC059-F54C-4017-A7EE-DDE08F78AED2}" type="presParOf" srcId="{1A293306-EFBE-4204-B6A8-8F33944630A2}" destId="{6063971C-A9D6-477B-A407-E5A323C370FB}" srcOrd="1" destOrd="0" presId="urn:microsoft.com/office/officeart/2005/8/layout/orgChart1"/>
    <dgm:cxn modelId="{004879F8-BB35-4E6D-8B5C-4149784D51CE}" type="presParOf" srcId="{6063971C-A9D6-477B-A407-E5A323C370FB}" destId="{AD09A309-96A7-4137-826A-55143302F389}" srcOrd="0" destOrd="0" presId="urn:microsoft.com/office/officeart/2005/8/layout/orgChart1"/>
    <dgm:cxn modelId="{103AF803-C2C1-4802-A1BD-2A631A7B5EF0}" type="presParOf" srcId="{6063971C-A9D6-477B-A407-E5A323C370FB}" destId="{F567042B-E51C-4E2B-9376-A1DAE511497C}" srcOrd="1" destOrd="0" presId="urn:microsoft.com/office/officeart/2005/8/layout/orgChart1"/>
    <dgm:cxn modelId="{9E0FAE61-2765-4CF2-BFE1-AB92F5ED79CF}" type="presParOf" srcId="{F567042B-E51C-4E2B-9376-A1DAE511497C}" destId="{DFC3C238-67C2-4E0E-AA77-E3BABA0DCCF8}" srcOrd="0" destOrd="0" presId="urn:microsoft.com/office/officeart/2005/8/layout/orgChart1"/>
    <dgm:cxn modelId="{DCE5740D-6293-47A3-93C5-800DADB5E36A}" type="presParOf" srcId="{DFC3C238-67C2-4E0E-AA77-E3BABA0DCCF8}" destId="{7F8CE5CD-2646-4243-8C1F-9E719581165A}" srcOrd="0" destOrd="0" presId="urn:microsoft.com/office/officeart/2005/8/layout/orgChart1"/>
    <dgm:cxn modelId="{E3BDC316-0F5E-4C58-A657-0693B7A927DF}" type="presParOf" srcId="{DFC3C238-67C2-4E0E-AA77-E3BABA0DCCF8}" destId="{6D02A2CE-90ED-4CEC-B2B3-811F553A7A2C}" srcOrd="1" destOrd="0" presId="urn:microsoft.com/office/officeart/2005/8/layout/orgChart1"/>
    <dgm:cxn modelId="{1FFC247C-72A4-4E73-9459-2A19FEBC30CF}" type="presParOf" srcId="{F567042B-E51C-4E2B-9376-A1DAE511497C}" destId="{2D9CC0A4-0388-45FB-BC21-BBF78B781643}" srcOrd="1" destOrd="0" presId="urn:microsoft.com/office/officeart/2005/8/layout/orgChart1"/>
    <dgm:cxn modelId="{85611BE0-5499-4E8D-9CE4-A02EED2136EB}" type="presParOf" srcId="{F567042B-E51C-4E2B-9376-A1DAE511497C}" destId="{ABD1BA1F-C773-462B-95AA-EDE50DA9334B}" srcOrd="2" destOrd="0" presId="urn:microsoft.com/office/officeart/2005/8/layout/orgChart1"/>
    <dgm:cxn modelId="{93430D1B-3710-4ECB-A4B5-5BCA439819EC}" type="presParOf" srcId="{6063971C-A9D6-477B-A407-E5A323C370FB}" destId="{04317657-3537-4291-B06A-E7D5E4DF87F7}" srcOrd="2" destOrd="0" presId="urn:microsoft.com/office/officeart/2005/8/layout/orgChart1"/>
    <dgm:cxn modelId="{062B2B3E-B917-45DC-8766-4263B402990D}" type="presParOf" srcId="{6063971C-A9D6-477B-A407-E5A323C370FB}" destId="{9F21F8A1-1EDB-4F06-8716-98BEDC5D136E}" srcOrd="3" destOrd="0" presId="urn:microsoft.com/office/officeart/2005/8/layout/orgChart1"/>
    <dgm:cxn modelId="{5B197DA9-499B-49CE-A3DF-61B4D47476DE}" type="presParOf" srcId="{9F21F8A1-1EDB-4F06-8716-98BEDC5D136E}" destId="{1D98A577-4532-4757-BBDD-7BEB976D11FD}" srcOrd="0" destOrd="0" presId="urn:microsoft.com/office/officeart/2005/8/layout/orgChart1"/>
    <dgm:cxn modelId="{37589866-A82F-4A0B-981B-2DEE53CABB3C}" type="presParOf" srcId="{1D98A577-4532-4757-BBDD-7BEB976D11FD}" destId="{F705FCC5-7DA4-4052-97F8-E266457DE5A5}" srcOrd="0" destOrd="0" presId="urn:microsoft.com/office/officeart/2005/8/layout/orgChart1"/>
    <dgm:cxn modelId="{C88C1061-C4A4-434D-830A-34E3B000E1F0}" type="presParOf" srcId="{1D98A577-4532-4757-BBDD-7BEB976D11FD}" destId="{3E6419CA-EFDD-4B27-B22F-8AC5210B0DCC}" srcOrd="1" destOrd="0" presId="urn:microsoft.com/office/officeart/2005/8/layout/orgChart1"/>
    <dgm:cxn modelId="{27D865A2-FE4D-4423-A0F9-CDA604E937BD}" type="presParOf" srcId="{9F21F8A1-1EDB-4F06-8716-98BEDC5D136E}" destId="{CC836229-4BB2-467B-B28F-D3AD93D84905}" srcOrd="1" destOrd="0" presId="urn:microsoft.com/office/officeart/2005/8/layout/orgChart1"/>
    <dgm:cxn modelId="{69C19FB6-2500-43DF-897A-916F6EB7A494}" type="presParOf" srcId="{9F21F8A1-1EDB-4F06-8716-98BEDC5D136E}" destId="{F5DAC589-D431-4C86-B532-69FA42DD5A48}" srcOrd="2" destOrd="0" presId="urn:microsoft.com/office/officeart/2005/8/layout/orgChart1"/>
    <dgm:cxn modelId="{063440FF-CCD3-4651-8297-A99B8F59226F}" type="presParOf" srcId="{6063971C-A9D6-477B-A407-E5A323C370FB}" destId="{2536FCF6-D15D-4140-80C1-95927321EECF}" srcOrd="4" destOrd="0" presId="urn:microsoft.com/office/officeart/2005/8/layout/orgChart1"/>
    <dgm:cxn modelId="{BB3F0BEB-2E66-4A8D-9872-B17EC33AC3AD}" type="presParOf" srcId="{6063971C-A9D6-477B-A407-E5A323C370FB}" destId="{D402B62B-AAEB-4593-B9D5-0F896B25E00B}" srcOrd="5" destOrd="0" presId="urn:microsoft.com/office/officeart/2005/8/layout/orgChart1"/>
    <dgm:cxn modelId="{BF0103FC-0873-4252-B349-54B822EB0E64}" type="presParOf" srcId="{D402B62B-AAEB-4593-B9D5-0F896B25E00B}" destId="{D030E87F-BA42-491A-93D5-F4CB55EB9F2F}" srcOrd="0" destOrd="0" presId="urn:microsoft.com/office/officeart/2005/8/layout/orgChart1"/>
    <dgm:cxn modelId="{EF3C9D95-1D02-4724-91DB-601CED237442}" type="presParOf" srcId="{D030E87F-BA42-491A-93D5-F4CB55EB9F2F}" destId="{9D4B7093-1614-4838-B298-F342A44FB51D}" srcOrd="0" destOrd="0" presId="urn:microsoft.com/office/officeart/2005/8/layout/orgChart1"/>
    <dgm:cxn modelId="{C706A511-D424-4F19-84BA-65DCB2D3E236}" type="presParOf" srcId="{D030E87F-BA42-491A-93D5-F4CB55EB9F2F}" destId="{0B4192CB-7BDE-4CEA-BA57-0DBFDB822E3D}" srcOrd="1" destOrd="0" presId="urn:microsoft.com/office/officeart/2005/8/layout/orgChart1"/>
    <dgm:cxn modelId="{87288E3B-4D9E-40F6-AC22-547D4A90B00E}" type="presParOf" srcId="{D402B62B-AAEB-4593-B9D5-0F896B25E00B}" destId="{C10CF2B9-6EC5-4562-90B0-17CDD6D5EE14}" srcOrd="1" destOrd="0" presId="urn:microsoft.com/office/officeart/2005/8/layout/orgChart1"/>
    <dgm:cxn modelId="{B9DC7CBC-67DD-477E-B61B-D28A6856B874}" type="presParOf" srcId="{D402B62B-AAEB-4593-B9D5-0F896B25E00B}" destId="{A31008D6-BFC9-425C-AA6C-C48D8C42CD8F}" srcOrd="2" destOrd="0" presId="urn:microsoft.com/office/officeart/2005/8/layout/orgChart1"/>
    <dgm:cxn modelId="{1CB39195-C68A-412F-993D-747DBEF3C30E}" type="presParOf" srcId="{6063971C-A9D6-477B-A407-E5A323C370FB}" destId="{81BFDC33-972F-4C52-BB8B-C1D174C58B51}" srcOrd="6" destOrd="0" presId="urn:microsoft.com/office/officeart/2005/8/layout/orgChart1"/>
    <dgm:cxn modelId="{09BED18F-0745-4307-8031-5BEC9BC8A879}" type="presParOf" srcId="{6063971C-A9D6-477B-A407-E5A323C370FB}" destId="{E334D9EB-D331-46E7-85C3-97D5FC067C27}" srcOrd="7" destOrd="0" presId="urn:microsoft.com/office/officeart/2005/8/layout/orgChart1"/>
    <dgm:cxn modelId="{8E63608E-8FDF-4D5B-8EFB-A03010DD7749}" type="presParOf" srcId="{E334D9EB-D331-46E7-85C3-97D5FC067C27}" destId="{9DE828B5-7810-4FA0-AB52-DF7BD85388FD}" srcOrd="0" destOrd="0" presId="urn:microsoft.com/office/officeart/2005/8/layout/orgChart1"/>
    <dgm:cxn modelId="{AC19AAB1-E179-4302-A661-A649B56ED03C}" type="presParOf" srcId="{9DE828B5-7810-4FA0-AB52-DF7BD85388FD}" destId="{A5F0EBFD-5DBA-4EBA-B5BA-F41E0BB225C9}" srcOrd="0" destOrd="0" presId="urn:microsoft.com/office/officeart/2005/8/layout/orgChart1"/>
    <dgm:cxn modelId="{11745E75-B0A0-4399-876B-BA3B49A7A024}" type="presParOf" srcId="{9DE828B5-7810-4FA0-AB52-DF7BD85388FD}" destId="{792E9D5E-3198-46D5-BE40-3207BA1443D0}" srcOrd="1" destOrd="0" presId="urn:microsoft.com/office/officeart/2005/8/layout/orgChart1"/>
    <dgm:cxn modelId="{03B9FE30-DA06-41D9-83EC-AFDFFBE63394}" type="presParOf" srcId="{E334D9EB-D331-46E7-85C3-97D5FC067C27}" destId="{C6981ADF-249E-4C80-B1B8-6904A1D38311}" srcOrd="1" destOrd="0" presId="urn:microsoft.com/office/officeart/2005/8/layout/orgChart1"/>
    <dgm:cxn modelId="{9EB4929F-92D0-4428-BD48-AEBEE45D5DA9}" type="presParOf" srcId="{E334D9EB-D331-46E7-85C3-97D5FC067C27}" destId="{B1273B7A-905C-4BDB-8C1F-0AE02FEDB687}" srcOrd="2" destOrd="0" presId="urn:microsoft.com/office/officeart/2005/8/layout/orgChart1"/>
    <dgm:cxn modelId="{0C91EDD7-40D0-4266-A120-9FB82D0DBA53}" type="presParOf" srcId="{1A293306-EFBE-4204-B6A8-8F33944630A2}" destId="{4767DBB1-044F-48A9-AB9D-F633632EA502}"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6">
  <dgm:title val=""/>
  <dgm:desc val=""/>
  <dgm:catLst>
    <dgm:cat type="hierarchy" pri="3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 modelId="4">
          <dgm:prSet phldr="1"/>
        </dgm:pt>
        <dgm:pt modelId="5">
          <dgm:prSet phldr="1"/>
        </dgm:pt>
        <dgm:pt modelId="6">
          <dgm:prSet phldr="1"/>
        </dgm:pt>
      </dgm:ptLst>
      <dgm:cxnLst>
        <dgm:cxn modelId="7" srcId="0" destId="1" srcOrd="0" destOrd="0"/>
        <dgm:cxn modelId="8" srcId="1" destId="2" srcOrd="0" destOrd="0"/>
        <dgm:cxn modelId="9" srcId="1" destId="3" srcOrd="1" destOrd="0"/>
        <dgm:cxn modelId="23" srcId="2" destId="21" srcOrd="0" destOrd="0"/>
        <dgm:cxn modelId="24" srcId="2" destId="22" srcOrd="1" destOrd="0"/>
        <dgm:cxn modelId="33" srcId="3" destId="31" srcOrd="0" destOrd="0"/>
        <dgm:cxn modelId="10" srcId="0" destId="4" srcOrd="1" destOrd="0"/>
        <dgm:cxn modelId="11" srcId="0" destId="5" srcOrd="2" destOrd="0"/>
        <dgm:cxn modelId="12" srcId="0" destId="6" srcOrd="3" destOrd="0"/>
      </dgm:cxnLst>
      <dgm:bg/>
      <dgm:whole/>
    </dgm:dataModel>
  </dgm:sampData>
  <dgm:styleData>
    <dgm:dataModel>
      <dgm:ptLst>
        <dgm:pt modelId="0" type="doc"/>
        <dgm:pt modelId="1"/>
        <dgm:pt modelId="11"/>
        <dgm:pt modelId="12"/>
        <dgm:pt modelId="2"/>
        <dgm:pt modelId="3"/>
      </dgm:ptLst>
      <dgm:cxnLst>
        <dgm:cxn modelId="4" srcId="0" destId="1" srcOrd="0" destOrd="0"/>
        <dgm:cxn modelId="13" srcId="1" destId="11" srcOrd="0" destOrd="0"/>
        <dgm:cxn modelId="14" srcId="1" destId="12" srcOrd="1" destOrd="0"/>
        <dgm:cxn modelId="5" srcId="0" destId="2" srcOrd="1" destOrd="0"/>
        <dgm:cxn modelId="6" srcId="0" destId="3" srcOrd="2" destOrd="0"/>
      </dgm:cxnLst>
      <dgm:bg/>
      <dgm:whole/>
    </dgm:dataModel>
  </dgm:styleData>
  <dgm:clrData>
    <dgm:dataModel>
      <dgm:ptLst>
        <dgm:pt modelId="0" type="doc"/>
        <dgm:pt modelId="1"/>
        <dgm:pt modelId="2"/>
        <dgm:pt modelId="21"/>
        <dgm:pt modelId="211"/>
        <dgm:pt modelId="3"/>
        <dgm:pt modelId="31"/>
        <dgm:pt modelId="311"/>
        <dgm:pt modelId="4"/>
        <dgm:pt modelId="5"/>
        <dgm:pt modelId="6"/>
        <dgm:pt modelId="7"/>
      </dgm:ptLst>
      <dgm:cxnLst>
        <dgm:cxn modelId="8" srcId="0" destId="1" srcOrd="0" destOrd="0"/>
        <dgm:cxn modelId="9" srcId="1" destId="2" srcOrd="0" destOrd="0"/>
        <dgm:cxn modelId="10" srcId="1" destId="3" srcOrd="1" destOrd="0"/>
        <dgm:cxn modelId="23" srcId="2" destId="21" srcOrd="0" destOrd="0"/>
        <dgm:cxn modelId="24" srcId="21" destId="211" srcOrd="0" destOrd="0"/>
        <dgm:cxn modelId="33" srcId="3" destId="31" srcOrd="0" destOrd="0"/>
        <dgm:cxn modelId="34" srcId="31" destId="311" srcOrd="0" destOrd="0"/>
        <dgm:cxn modelId="11" srcId="0" destId="4" srcOrd="1" destOrd="0"/>
        <dgm:cxn modelId="12" srcId="0" destId="5" srcOrd="2" destOrd="0"/>
        <dgm:cxn modelId="13" srcId="0" destId="6" srcOrd="3" destOrd="0"/>
        <dgm:cxn modelId="14" srcId="0" destId="7" srcOrd="4" destOrd="0"/>
      </dgm:cxnLst>
      <dgm:bg/>
      <dgm:whole/>
    </dgm:dataModel>
  </dgm:clrData>
  <dgm:layoutNode name="mainComposite">
    <dgm:varLst>
      <dgm:chPref val="1"/>
      <dgm:dir/>
      <dgm:animOne val="branch"/>
      <dgm:animLvl val="lvl"/>
      <dgm:resizeHandles val="exact"/>
    </dgm:varLst>
    <dgm:alg type="composite">
      <dgm:param type="vertAlign" val="mid"/>
      <dgm:param type="horzAlign" val="ctr"/>
    </dgm:alg>
    <dgm:shape xmlns:r="http://schemas.openxmlformats.org/officeDocument/2006/relationships" r:blip="">
      <dgm:adjLst/>
    </dgm:shape>
    <dgm:presOf/>
    <dgm:choose name="Name0">
      <dgm:if name="Name1" axis="ch" ptType="node" func="cnt" op="gte" val="2">
        <dgm:choose name="Name2">
          <dgm:if name="Name3" func="var" arg="dir" op="equ" val="norm">
            <dgm:constrLst>
              <dgm:constr type="l" for="ch" forName="hierFlow" refType="w" fact="0.3"/>
              <dgm:constr type="t" for="ch" forName="hierFlow"/>
              <dgm:constr type="r" for="ch" forName="hierFlow" refType="w" fact="0.98"/>
              <dgm:constr type="b" for="ch" forName="hierFlow" refType="h" fact="0.98"/>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if>
          <dgm:else name="Name4">
            <dgm:constrLst>
              <dgm:constr type="l" for="ch" forName="hierFlow" refType="w" fact="0.02"/>
              <dgm:constr type="t" for="ch" forName="hierFlow"/>
              <dgm:constr type="r" for="ch" forName="hierFlow" refType="w" fact="0.7"/>
              <dgm:constr type="b" for="ch" forName="hierFlow" refType="h" fact="0.98"/>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else>
        </dgm:choose>
      </dgm:if>
      <dgm:else name="Name5">
        <dgm:constrLst>
          <dgm:constr type="l" for="ch" forName="hierFlow"/>
          <dgm:constr type="t" for="ch" forName="hierFlow"/>
          <dgm:constr type="r" for="ch" forName="hierFlow" refType="w"/>
          <dgm:constr type="b" for="ch" forName="hierFlow" refType="h"/>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else>
    </dgm:choose>
    <dgm:ruleLst/>
    <dgm:layoutNode name="hierFlow">
      <dgm:alg type="lin">
        <dgm:param type="linDir" val="fromT"/>
        <dgm:param type="nodeVertAlign" val="t"/>
        <dgm:param type="vertAlign" val="t"/>
        <dgm:param type="nodeHorzAlign" val="ctr"/>
        <dgm:param type="fallback" val="2D"/>
      </dgm:alg>
      <dgm:shape xmlns:r="http://schemas.openxmlformats.org/officeDocument/2006/relationships" r:blip="">
        <dgm:adjLst/>
      </dgm:shape>
      <dgm:presOf/>
      <dgm:constrLst/>
      <dgm:ruleLst/>
      <dgm:choose name="Name6">
        <dgm:if name="Name7" axis="ch" ptType="node" func="cnt" op="gte" val="2">
          <dgm:layoutNode name="firstBuf">
            <dgm:alg type="sp"/>
            <dgm:shape xmlns:r="http://schemas.openxmlformats.org/officeDocument/2006/relationships" r:blip="">
              <dgm:adjLst/>
            </dgm:shape>
            <dgm:presOf/>
            <dgm:constrLst/>
            <dgm:ruleLst/>
          </dgm:layoutNode>
        </dgm:if>
        <dgm:else name="Name8"/>
      </dgm:choose>
      <dgm:layoutNode name="hierChild1">
        <dgm:varLst>
          <dgm:chPref val="1"/>
          <dgm:animOne val="branch"/>
          <dgm:animLvl val="lvl"/>
        </dgm:varLst>
        <dgm:choose name="Name9">
          <dgm:if name="Name10" func="var" arg="dir" op="equ" val="norm">
            <dgm:alg type="hierChild">
              <dgm:param type="linDir" val="fromL"/>
              <dgm:param type="vertAlign" val="t"/>
            </dgm:alg>
          </dgm:if>
          <dgm:else name="Name11">
            <dgm:alg type="hierChild">
              <dgm:param type="linDir" val="fromR"/>
              <dgm:param type="vertAlign" val="t"/>
            </dgm:alg>
          </dgm:else>
        </dgm:choose>
        <dgm:shape xmlns:r="http://schemas.openxmlformats.org/officeDocument/2006/relationships" r:blip="">
          <dgm:adjLst/>
        </dgm:shape>
        <dgm:presOf/>
        <dgm:constrLst>
          <dgm:constr type="primFontSz" for="des" ptType="node" op="equ"/>
        </dgm:constrLst>
        <dgm:ruleLst/>
        <dgm:forEach name="Name12" axis="ch" cnt="3">
          <dgm:forEach name="Name13" axis="self" ptType="node">
            <dgm:layoutNode name="Name14">
              <dgm:alg type="hierRoot"/>
              <dgm:shape xmlns:r="http://schemas.openxmlformats.org/officeDocument/2006/relationships" r:blip="">
                <dgm:adjLst/>
              </dgm:shape>
              <dgm:presOf/>
              <dgm:constrLst/>
              <dgm:ruleLst/>
              <dgm:layoutNode name="level1Shape" styleLbl="node0">
                <dgm:varLst>
                  <dgm:chPref val="3"/>
                </dgm:varLst>
                <dgm:alg type="tx"/>
                <dgm:shape xmlns:r="http://schemas.openxmlformats.org/officeDocument/2006/relationships" type="roundRect" r:blip="">
                  <dgm:adjLst>
                    <dgm:adj idx="1" val="0.1"/>
                  </dgm:adjLst>
                </dgm:shape>
                <dgm:presOf axis="self"/>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hierChild2">
                <dgm:choose name="Name15">
                  <dgm:if name="Name16" func="var" arg="dir" op="equ" val="norm">
                    <dgm:alg type="hierChild">
                      <dgm:param type="linDir" val="fromL"/>
                    </dgm:alg>
                  </dgm:if>
                  <dgm:else name="Name17">
                    <dgm:alg type="hierChild">
                      <dgm:param type="linDir" val="fromR"/>
                    </dgm:alg>
                  </dgm:else>
                </dgm:choose>
                <dgm:shape xmlns:r="http://schemas.openxmlformats.org/officeDocument/2006/relationships" r:blip="">
                  <dgm:adjLst/>
                </dgm:shape>
                <dgm:presOf/>
                <dgm:constrLst/>
                <dgm:ruleLst/>
                <dgm:forEach name="repeat" axis="ch">
                  <dgm:forEach name="Name18" axis="self" ptType="parTrans" cnt="1">
                    <dgm:layoutNode name="Name19">
                      <dgm:alg type="conn">
                        <dgm:param type="dim" val="1D"/>
                        <dgm:param type="endSty" val="noArr"/>
                        <dgm:param type="connRout" val="bend"/>
                        <dgm:param type="begPts" val="bCtr"/>
                        <dgm:param type="endPts" val="tCtr"/>
                      </dgm:alg>
                      <dgm:shape xmlns:r="http://schemas.openxmlformats.org/officeDocument/2006/relationships" type="conn" r:blip="">
                        <dgm:adjLst/>
                      </dgm:shape>
                      <dgm:presOf axis="self"/>
                      <dgm:constrLst>
                        <dgm:constr type="w" val="1"/>
                        <dgm:constr type="h" val="1"/>
                        <dgm:constr type="begPad"/>
                        <dgm:constr type="endPad"/>
                      </dgm:constrLst>
                      <dgm:ruleLst/>
                    </dgm:layoutNode>
                  </dgm:forEach>
                  <dgm:forEach name="Name20" axis="self" ptType="node">
                    <dgm:layoutNode name="Name21">
                      <dgm:alg type="hierRoot"/>
                      <dgm:shape xmlns:r="http://schemas.openxmlformats.org/officeDocument/2006/relationships" r:blip="">
                        <dgm:adjLst/>
                      </dgm:shape>
                      <dgm:presOf/>
                      <dgm:constrLst/>
                      <dgm:ruleLst/>
                      <dgm:layoutNode name="level2Shape">
                        <dgm:alg type="tx"/>
                        <dgm:shape xmlns:r="http://schemas.openxmlformats.org/officeDocument/2006/relationships" type="roundRect" r:blip="">
                          <dgm:adjLst>
                            <dgm:adj idx="1" val="0.1"/>
                          </dgm:adjLst>
                        </dgm:shape>
                        <dgm:presOf axis="self"/>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hierChild3">
                        <dgm:choose name="Name22">
                          <dgm:if name="Name23" func="var" arg="dir" op="equ" val="norm">
                            <dgm:alg type="hierChild">
                              <dgm:param type="linDir" val="fromL"/>
                            </dgm:alg>
                          </dgm:if>
                          <dgm:else name="Name24">
                            <dgm:alg type="hierChild">
                              <dgm:param type="linDir" val="fromR"/>
                            </dgm:alg>
                          </dgm:else>
                        </dgm:choose>
                        <dgm:shape xmlns:r="http://schemas.openxmlformats.org/officeDocument/2006/relationships" r:blip="">
                          <dgm:adjLst/>
                        </dgm:shape>
                        <dgm:presOf/>
                        <dgm:constrLst/>
                        <dgm:ruleLst/>
                        <dgm:forEach name="Name25" ref="repeat"/>
                      </dgm:layoutNode>
                    </dgm:layoutNode>
                  </dgm:forEach>
                </dgm:forEach>
              </dgm:layoutNode>
            </dgm:layoutNode>
          </dgm:forEach>
        </dgm:forEach>
      </dgm:layoutNode>
    </dgm:layoutNode>
    <dgm:layoutNode name="bgShapesFlow">
      <dgm:alg type="lin">
        <dgm:param type="linDir" val="fromT"/>
        <dgm:param type="nodeVertAlign" val="t"/>
        <dgm:param type="vertAlign" val="t"/>
        <dgm:param type="nodeHorzAlign" val="ctr"/>
      </dgm:alg>
      <dgm:shape xmlns:r="http://schemas.openxmlformats.org/officeDocument/2006/relationships" r:blip="">
        <dgm:adjLst/>
      </dgm:shape>
      <dgm:presOf/>
      <dgm:constrLst>
        <dgm:constr type="userB"/>
        <dgm:constr type="w" for="ch" forName="rectComp" refType="w"/>
        <dgm:constr type="h" for="ch" forName="rectComp" refType="h"/>
        <dgm:constr type="w" for="des" forName="bgRect" refType="w"/>
        <dgm:constr type="primFontSz" for="des" forName="bgRectTx" op="equ"/>
      </dgm:constrLst>
      <dgm:ruleLst/>
      <dgm:forEach name="Name26" axis="ch" ptType="node" st="2">
        <dgm:layoutNode name="rectComp">
          <dgm:alg type="composite">
            <dgm:param type="vertAlign" val="t"/>
            <dgm:param type="horzAlign" val="ctr"/>
          </dgm:alg>
          <dgm:shape xmlns:r="http://schemas.openxmlformats.org/officeDocument/2006/relationships" r:blip="">
            <dgm:adjLst/>
          </dgm:shape>
          <dgm:presOf/>
          <dgm:choose name="Name27">
            <dgm:if name="Name28" func="var" arg="dir" op="equ" val="norm">
              <dgm:constrLst>
                <dgm:constr type="userA"/>
                <dgm:constr type="l" for="ch" forName="bgRect"/>
                <dgm:constr type="t" for="ch" forName="bgRect"/>
                <dgm:constr type="h" for="ch" forName="bgRect" refType="userA" fact="1.2"/>
                <dgm:constr type="l" for="ch" forName="bgRectTx"/>
                <dgm:constr type="t" for="ch" forName="bgRectTx"/>
                <dgm:constr type="w" for="ch" forName="bgRectTx" refType="w" refFor="ch" refForName="bgRect" fact="0.3"/>
                <dgm:constr type="h" for="ch" forName="bgRectTx" refType="h" refFor="ch" refForName="bgRect" op="equ"/>
              </dgm:constrLst>
            </dgm:if>
            <dgm:else name="Name29">
              <dgm:constrLst>
                <dgm:constr type="userA"/>
                <dgm:constr type="l" for="ch" forName="bgRect"/>
                <dgm:constr type="t" for="ch" forName="bgRect"/>
                <dgm:constr type="h" for="ch" forName="bgRect" refType="userA" fact="1.2"/>
                <dgm:constr type="r" for="ch" forName="bgRectTx" refType="w"/>
                <dgm:constr type="t" for="ch" forName="bgRectTx"/>
                <dgm:constr type="w" for="ch" forName="bgRectTx" refType="w" refFor="ch" refForName="bgRect" fact="0.3"/>
                <dgm:constr type="h" for="ch" forName="bgRectTx" refType="h" refFor="ch" refForName="bgRect" op="equ"/>
              </dgm:constrLst>
            </dgm:else>
          </dgm:choose>
          <dgm:ruleLst/>
          <dgm:layoutNode name="bgRect" styleLbl="bgShp">
            <dgm:alg type="sp"/>
            <dgm:shape xmlns:r="http://schemas.openxmlformats.org/officeDocument/2006/relationships" type="roundRect" r:blip="" zOrderOff="-999">
              <dgm:adjLst>
                <dgm:adj idx="1" val="0.1"/>
              </dgm:adjLst>
            </dgm:shape>
            <dgm:presOf axis="desOrSelf" ptType="node"/>
            <dgm:constrLst/>
            <dgm:ruleLst/>
          </dgm:layoutNode>
          <dgm:layoutNode name="bgRectTx" styleLbl="bgShp">
            <dgm:varLst>
              <dgm:bulletEnabled val="1"/>
            </dgm:varLst>
            <dgm:alg type="tx"/>
            <dgm:presOf axis="desOrSelf" ptType="node"/>
            <dgm:shape xmlns:r="http://schemas.openxmlformats.org/officeDocument/2006/relationships" type="rect" r:blip="" zOrderOff="-999" hideGeom="1">
              <dgm:adjLst/>
            </dgm:shape>
            <dgm:constrLst>
              <dgm:constr type="primFontSz" val="65"/>
            </dgm:constrLst>
            <dgm:ruleLst>
              <dgm:rule type="primFontSz" val="5" fact="NaN" max="NaN"/>
            </dgm:ruleLst>
          </dgm:layoutNode>
        </dgm:layoutNode>
        <dgm:choose name="Name30">
          <dgm:if name="Name31" axis="self" ptType="node" func="revPos" op="gte" val="2">
            <dgm:layoutNode name="spComp">
              <dgm:alg type="composite">
                <dgm:param type="vertAlign" val="t"/>
                <dgm:param type="horzAlign" val="ctr"/>
              </dgm:alg>
              <dgm:shape xmlns:r="http://schemas.openxmlformats.org/officeDocument/2006/relationships" r:blip="">
                <dgm:adjLst/>
              </dgm:shape>
              <dgm:presOf/>
              <dgm:constrLst>
                <dgm:constr type="userA"/>
                <dgm:constr type="userB"/>
                <dgm:constr type="l" for="ch" forName="vSp"/>
                <dgm:constr type="t" for="ch" forName="vSp"/>
                <dgm:constr type="h" for="ch" forName="vSp" refType="userB"/>
                <dgm:constr type="hOff" for="ch" forName="vSp" refType="userA" fact="-0.2"/>
              </dgm:constrLst>
              <dgm:ruleLst/>
              <dgm:layoutNode name="vSp">
                <dgm:alg type="sp"/>
                <dgm:shape xmlns:r="http://schemas.openxmlformats.org/officeDocument/2006/relationships" r:blip="">
                  <dgm:adjLst/>
                </dgm:shape>
                <dgm:presOf/>
                <dgm:constrLst/>
                <dgm:ruleLst/>
              </dgm:layoutNode>
            </dgm:layoutNode>
          </dgm:if>
          <dgm:else name="Name32"/>
        </dgm:choose>
      </dgm:forEach>
    </dgm:layoutNode>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2.xml"/><Relationship Id="rId2" Type="http://schemas.openxmlformats.org/officeDocument/2006/relationships/diagramLayout" Target="../diagrams/layout2.xml"/><Relationship Id="rId1" Type="http://schemas.openxmlformats.org/officeDocument/2006/relationships/diagramData" Target="../diagrams/data2.xml"/><Relationship Id="rId5" Type="http://schemas.microsoft.com/office/2007/relationships/diagramDrawing" Target="../diagrams/drawing2.xml"/><Relationship Id="rId4" Type="http://schemas.openxmlformats.org/officeDocument/2006/relationships/diagramColors" Target="../diagrams/colors2.xml"/></Relationships>
</file>

<file path=xl/drawings/drawing1.xml><?xml version="1.0" encoding="utf-8"?>
<xdr:wsDr xmlns:xdr="http://schemas.openxmlformats.org/drawingml/2006/spreadsheetDrawing" xmlns:a="http://schemas.openxmlformats.org/drawingml/2006/main">
  <xdr:twoCellAnchor>
    <xdr:from>
      <xdr:col>0</xdr:col>
      <xdr:colOff>60960</xdr:colOff>
      <xdr:row>0</xdr:row>
      <xdr:rowOff>68580</xdr:rowOff>
    </xdr:from>
    <xdr:to>
      <xdr:col>16</xdr:col>
      <xdr:colOff>350520</xdr:colOff>
      <xdr:row>27</xdr:row>
      <xdr:rowOff>129540</xdr:rowOff>
    </xdr:to>
    <xdr:graphicFrame macro="">
      <xdr:nvGraphicFramePr>
        <xdr:cNvPr id="2" name="图示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485775</xdr:colOff>
      <xdr:row>0</xdr:row>
      <xdr:rowOff>33336</xdr:rowOff>
    </xdr:from>
    <xdr:to>
      <xdr:col>12</xdr:col>
      <xdr:colOff>57150</xdr:colOff>
      <xdr:row>23</xdr:row>
      <xdr:rowOff>161925</xdr:rowOff>
    </xdr:to>
    <xdr:graphicFrame macro="">
      <xdr:nvGraphicFramePr>
        <xdr:cNvPr id="3" name="图示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theme/theme1.xml><?xml version="1.0" encoding="utf-8"?>
<a:theme xmlns:a="http://schemas.openxmlformats.org/drawingml/2006/main" name="Office 主题">
  <a:themeElements>
    <a:clrScheme name="Copy of Copy of Copy of DNT color1">
      <a:dk1>
        <a:sysClr val="windowText" lastClr="000000"/>
      </a:dk1>
      <a:lt1>
        <a:sysClr val="window" lastClr="FFFFFF"/>
      </a:lt1>
      <a:dk2>
        <a:srgbClr val="44546A"/>
      </a:dk2>
      <a:lt2>
        <a:srgbClr val="E7E6E6"/>
      </a:lt2>
      <a:accent1>
        <a:srgbClr val="DB595C"/>
      </a:accent1>
      <a:accent2>
        <a:srgbClr val="2C6565"/>
      </a:accent2>
      <a:accent3>
        <a:srgbClr val="FCF6D9"/>
      </a:accent3>
      <a:accent4>
        <a:srgbClr val="DDC094"/>
      </a:accent4>
      <a:accent5>
        <a:srgbClr val="150101"/>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sheetPr>
  <dimension ref="A1:F7"/>
  <sheetViews>
    <sheetView showGridLines="0" topLeftCell="A16" zoomScale="70" zoomScaleNormal="70" workbookViewId="0">
      <selection activeCell="C7" sqref="C7"/>
    </sheetView>
  </sheetViews>
  <sheetFormatPr defaultColWidth="0" defaultRowHeight="16.5" x14ac:dyDescent="0.15"/>
  <cols>
    <col min="1" max="1" width="40.5" style="2" customWidth="1"/>
    <col min="2" max="2" width="92.625" style="2" customWidth="1"/>
    <col min="3" max="6" width="8.875" style="2" customWidth="1"/>
    <col min="7" max="16384" width="8.875" style="2" hidden="1"/>
  </cols>
  <sheetData>
    <row r="1" spans="1:6" ht="60" customHeight="1" x14ac:dyDescent="0.15">
      <c r="A1" s="11" t="s">
        <v>0</v>
      </c>
      <c r="B1" s="12" t="s">
        <v>32</v>
      </c>
      <c r="C1" s="11" t="s">
        <v>23</v>
      </c>
      <c r="D1" s="11"/>
      <c r="E1" s="11"/>
      <c r="F1" s="11"/>
    </row>
    <row r="2" spans="1:6" ht="79.900000000000006" customHeight="1" x14ac:dyDescent="0.15">
      <c r="A2" s="9" t="s">
        <v>1</v>
      </c>
      <c r="B2" s="10" t="s">
        <v>33</v>
      </c>
      <c r="C2" s="9"/>
      <c r="D2" s="9"/>
      <c r="E2" s="9"/>
      <c r="F2" s="9"/>
    </row>
    <row r="3" spans="1:6" ht="79.900000000000006" customHeight="1" x14ac:dyDescent="0.15">
      <c r="A3" s="15" t="s">
        <v>2</v>
      </c>
      <c r="B3" s="16" t="s">
        <v>34</v>
      </c>
      <c r="C3" s="15"/>
      <c r="D3" s="15"/>
      <c r="E3" s="15"/>
      <c r="F3" s="15"/>
    </row>
    <row r="4" spans="1:6" ht="100.15" customHeight="1" x14ac:dyDescent="0.15">
      <c r="A4" s="17" t="s">
        <v>3</v>
      </c>
      <c r="B4" s="18" t="s">
        <v>35</v>
      </c>
      <c r="C4" s="17" t="s">
        <v>21</v>
      </c>
      <c r="D4" s="17"/>
      <c r="E4" s="17"/>
      <c r="F4" s="17"/>
    </row>
    <row r="5" spans="1:6" ht="79.900000000000006" customHeight="1" x14ac:dyDescent="0.15">
      <c r="A5" s="7" t="s">
        <v>4</v>
      </c>
      <c r="B5" s="8" t="s">
        <v>7</v>
      </c>
      <c r="C5" s="7"/>
      <c r="D5" s="7"/>
      <c r="E5" s="7"/>
      <c r="F5" s="7"/>
    </row>
    <row r="6" spans="1:6" ht="79.900000000000006" customHeight="1" x14ac:dyDescent="0.15">
      <c r="A6" s="19" t="s">
        <v>5</v>
      </c>
      <c r="B6" s="20" t="s">
        <v>17</v>
      </c>
      <c r="C6" s="19"/>
      <c r="D6" s="19"/>
      <c r="E6" s="19"/>
      <c r="F6" s="19"/>
    </row>
    <row r="7" spans="1:6" ht="79.900000000000006" customHeight="1" x14ac:dyDescent="0.15">
      <c r="A7" s="13" t="s">
        <v>6</v>
      </c>
      <c r="B7" s="14" t="s">
        <v>8</v>
      </c>
      <c r="C7" s="13" t="s">
        <v>22</v>
      </c>
      <c r="D7" s="13"/>
      <c r="E7" s="13"/>
      <c r="F7" s="13"/>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D19"/>
  <sheetViews>
    <sheetView showGridLines="0" workbookViewId="0">
      <selection activeCell="B8" sqref="B8"/>
    </sheetView>
  </sheetViews>
  <sheetFormatPr defaultColWidth="0" defaultRowHeight="14.25" x14ac:dyDescent="0.15"/>
  <cols>
    <col min="1" max="1" width="8.875" customWidth="1"/>
    <col min="2" max="2" width="113.625" style="6" customWidth="1"/>
    <col min="3" max="4" width="8.875" customWidth="1"/>
    <col min="5" max="16384" width="8.875" hidden="1"/>
  </cols>
  <sheetData>
    <row r="1" spans="2:4" s="1" customFormat="1" ht="25.5" thickBot="1" x14ac:dyDescent="0.2">
      <c r="B1" s="21" t="s">
        <v>19</v>
      </c>
    </row>
    <row r="2" spans="2:4" ht="30" thickTop="1" thickBot="1" x14ac:dyDescent="0.2">
      <c r="B2" s="3" t="s">
        <v>13</v>
      </c>
    </row>
    <row r="3" spans="2:4" ht="8.4499999999999993" customHeight="1" thickTop="1" x14ac:dyDescent="0.15">
      <c r="B3" s="4" t="s">
        <v>9</v>
      </c>
    </row>
    <row r="4" spans="2:4" ht="29.25" thickBot="1" x14ac:dyDescent="0.2">
      <c r="B4" s="5" t="s">
        <v>11</v>
      </c>
      <c r="D4" s="1"/>
    </row>
    <row r="5" spans="2:4" ht="7.15" customHeight="1" thickTop="1" x14ac:dyDescent="0.15">
      <c r="B5" s="4" t="s">
        <v>9</v>
      </c>
    </row>
    <row r="6" spans="2:4" ht="29.25" thickBot="1" x14ac:dyDescent="0.2">
      <c r="B6" s="5" t="s">
        <v>12</v>
      </c>
    </row>
    <row r="7" spans="2:4" ht="15" thickTop="1" x14ac:dyDescent="0.15">
      <c r="B7" s="4" t="s">
        <v>9</v>
      </c>
    </row>
    <row r="8" spans="2:4" ht="43.5" thickBot="1" x14ac:dyDescent="0.2">
      <c r="B8" s="5" t="s">
        <v>14</v>
      </c>
    </row>
    <row r="9" spans="2:4" ht="9.6" customHeight="1" thickTop="1" x14ac:dyDescent="0.15">
      <c r="B9" s="4" t="s">
        <v>9</v>
      </c>
    </row>
    <row r="10" spans="2:4" ht="86.25" thickBot="1" x14ac:dyDescent="0.2">
      <c r="B10" s="5" t="s">
        <v>10</v>
      </c>
    </row>
    <row r="11" spans="2:4" ht="7.15" customHeight="1" thickTop="1" x14ac:dyDescent="0.15">
      <c r="B11" s="4" t="s">
        <v>9</v>
      </c>
    </row>
    <row r="12" spans="2:4" ht="57.75" thickBot="1" x14ac:dyDescent="0.2">
      <c r="B12" s="5" t="s">
        <v>18</v>
      </c>
    </row>
    <row r="13" spans="2:4" ht="15" thickTop="1" x14ac:dyDescent="0.15">
      <c r="B13" s="4" t="s">
        <v>9</v>
      </c>
    </row>
    <row r="14" spans="2:4" ht="57.75" thickBot="1" x14ac:dyDescent="0.2">
      <c r="B14" s="5" t="s">
        <v>15</v>
      </c>
    </row>
    <row r="15" spans="2:4" ht="6.6" customHeight="1" thickTop="1" x14ac:dyDescent="0.15">
      <c r="B15" s="4" t="s">
        <v>9</v>
      </c>
    </row>
    <row r="16" spans="2:4" ht="43.5" thickBot="1" x14ac:dyDescent="0.2">
      <c r="B16" s="5" t="s">
        <v>20</v>
      </c>
    </row>
    <row r="17" spans="2:2" ht="6.6" customHeight="1" thickTop="1" x14ac:dyDescent="0.15">
      <c r="B17" s="4" t="s">
        <v>9</v>
      </c>
    </row>
    <row r="18" spans="2:2" ht="15" thickBot="1" x14ac:dyDescent="0.2">
      <c r="B18" s="5" t="s">
        <v>16</v>
      </c>
    </row>
    <row r="19" spans="2:2" ht="15" thickTop="1" x14ac:dyDescent="0.15"/>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R2:R4"/>
  <sheetViews>
    <sheetView showGridLines="0" topLeftCell="A4" workbookViewId="0">
      <selection activeCell="U16" sqref="U16"/>
    </sheetView>
  </sheetViews>
  <sheetFormatPr defaultRowHeight="13.5" x14ac:dyDescent="0.15"/>
  <sheetData>
    <row r="2" spans="18:18" x14ac:dyDescent="0.15">
      <c r="R2" s="22"/>
    </row>
    <row r="3" spans="18:18" x14ac:dyDescent="0.15">
      <c r="R3" s="22"/>
    </row>
    <row r="4" spans="18:18" x14ac:dyDescent="0.15">
      <c r="R4" s="22"/>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showGridLines="0" workbookViewId="0">
      <selection activeCell="C21" sqref="C21"/>
    </sheetView>
  </sheetViews>
  <sheetFormatPr defaultColWidth="0" defaultRowHeight="13.5" x14ac:dyDescent="0.15"/>
  <cols>
    <col min="1" max="1" width="44.75" customWidth="1"/>
    <col min="2" max="2" width="10.5" bestFit="1" customWidth="1"/>
    <col min="3" max="3" width="8.875" customWidth="1"/>
    <col min="4" max="4" width="33.375" customWidth="1"/>
    <col min="5" max="9" width="8.875" customWidth="1"/>
    <col min="10" max="16384" width="8.875" hidden="1"/>
  </cols>
  <sheetData>
    <row r="1" spans="1:4" x14ac:dyDescent="0.15">
      <c r="A1" s="22" t="s">
        <v>37</v>
      </c>
    </row>
    <row r="2" spans="1:4" s="23" customFormat="1" x14ac:dyDescent="0.15">
      <c r="A2" s="23" t="s">
        <v>28</v>
      </c>
      <c r="B2" s="23" t="str">
        <f>Dbstr2num(A2)</f>
        <v>1057860.56</v>
      </c>
      <c r="C2" s="24"/>
      <c r="D2" s="23" t="str">
        <f>NUMBERSTRING(TRUNC(B2),2)&amp;"元"&amp;SUBSTITUTE(SUBSTITUTE(SUBSTITUTE(IF(--RIGHT(DOLLAR(B2),2),NUMBERSTRING(("1."&amp;RIGHT(DOLLAR(B2),2))*1000,2),"整"),"佰","角"),"拾","分"),"壹仟","")</f>
        <v>壹佰零伍万柒仟捌佰陆拾元伍角陆分</v>
      </c>
    </row>
    <row r="3" spans="1:4" s="23" customFormat="1" x14ac:dyDescent="0.15">
      <c r="A3" s="23" t="s">
        <v>24</v>
      </c>
      <c r="B3" s="23" t="str">
        <f>Dbstr2num(A3)</f>
        <v>73130156</v>
      </c>
      <c r="D3" s="23" t="str">
        <f>IF(B3=0,"","人民币："&amp;SUBSTITUTE(SUBSTITUTE(REPT("负",B3&lt;0)&amp;NUMBERSTRING(ABS(TRUNC(B3)),2)&amp;SUBSTITUTE(SUBSTITUTE(TEXT(RIGHT(DOLLAR(B3),2),"元[dbnum2]0角#分;;"),"零分","整"),"零角","零"),"零元零",""),"零元",""))</f>
        <v>人民币：柒仟叁佰壹拾叁万零壹佰伍拾陆</v>
      </c>
    </row>
    <row r="4" spans="1:4" s="23" customFormat="1" x14ac:dyDescent="0.15">
      <c r="A4" s="23" t="s">
        <v>25</v>
      </c>
      <c r="B4" s="23" t="str">
        <f>Dbstr2num(A4)</f>
        <v>91927636</v>
      </c>
    </row>
    <row r="5" spans="1:4" s="23" customFormat="1" x14ac:dyDescent="0.15">
      <c r="A5" s="23" t="s">
        <v>26</v>
      </c>
      <c r="B5" s="23" t="str">
        <f>Dbstr2num(A5)</f>
        <v>107982637</v>
      </c>
    </row>
    <row r="6" spans="1:4" s="23" customFormat="1" x14ac:dyDescent="0.15">
      <c r="A6" s="23" t="s">
        <v>27</v>
      </c>
      <c r="B6" s="23" t="str">
        <f>Dbstr2num(A6)</f>
        <v>66370703</v>
      </c>
    </row>
    <row r="8" spans="1:4" x14ac:dyDescent="0.15">
      <c r="A8" s="22" t="s">
        <v>36</v>
      </c>
    </row>
    <row r="9" spans="1:4" x14ac:dyDescent="0.15">
      <c r="A9" t="s">
        <v>29</v>
      </c>
      <c r="B9" t="str">
        <f>title(A9)</f>
        <v>Python 中文(大写)数字转阿拉伯数字 - Just for fun的专栏 - CSDN博客</v>
      </c>
    </row>
    <row r="10" spans="1:4" x14ac:dyDescent="0.15">
      <c r="A10" t="s">
        <v>30</v>
      </c>
      <c r="B10" t="str">
        <f>title(A10)</f>
        <v>中文大写数字转阿拉伯数值工具类 - 曱熊的博客 - CSDN博客</v>
      </c>
    </row>
    <row r="13" spans="1:4" x14ac:dyDescent="0.15">
      <c r="A13" s="22" t="s">
        <v>38</v>
      </c>
    </row>
    <row r="14" spans="1:4" x14ac:dyDescent="0.15">
      <c r="A14" t="str">
        <f>INDEX(re_info($B$9,"(\w+)"),ROW()-13)</f>
        <v>Python</v>
      </c>
    </row>
    <row r="15" spans="1:4" x14ac:dyDescent="0.15">
      <c r="A15" t="str">
        <f>INDEX(re_info($B$9,"(\w+)"),ROW()-13)</f>
        <v>Just</v>
      </c>
    </row>
    <row r="16" spans="1:4" x14ac:dyDescent="0.15">
      <c r="A16" t="str">
        <f>INDEX(re_info($B$9,"(\w+)"),ROW()-13)</f>
        <v>for</v>
      </c>
    </row>
    <row r="20" spans="2:2" x14ac:dyDescent="0.15">
      <c r="B20" t="s">
        <v>31</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7:N30"/>
  <sheetViews>
    <sheetView showGridLines="0" topLeftCell="A12" workbookViewId="0">
      <selection activeCell="H42" sqref="H42"/>
    </sheetView>
  </sheetViews>
  <sheetFormatPr defaultRowHeight="13.5" x14ac:dyDescent="0.15"/>
  <cols>
    <col min="1" max="1" width="15.5" customWidth="1"/>
  </cols>
  <sheetData>
    <row r="27" spans="1:14" ht="14.25" thickBot="1" x14ac:dyDescent="0.2">
      <c r="A27" s="26"/>
      <c r="B27" s="26"/>
      <c r="C27" s="26"/>
      <c r="D27" s="26"/>
      <c r="E27" s="26"/>
      <c r="F27" s="26"/>
      <c r="G27" s="26"/>
      <c r="H27" s="26"/>
      <c r="I27" s="26"/>
      <c r="J27" s="26"/>
      <c r="K27" s="26"/>
      <c r="L27" s="26"/>
      <c r="M27" s="26"/>
      <c r="N27" s="26"/>
    </row>
    <row r="28" spans="1:14" x14ac:dyDescent="0.15">
      <c r="A28" s="1"/>
      <c r="B28" s="1"/>
      <c r="C28" s="1"/>
      <c r="D28" s="1"/>
      <c r="E28" s="1"/>
      <c r="F28" s="1"/>
      <c r="G28" s="1"/>
      <c r="H28" s="1"/>
      <c r="I28" s="1"/>
      <c r="J28" s="1"/>
      <c r="K28" s="1"/>
      <c r="L28" s="1"/>
      <c r="M28" s="1"/>
      <c r="N28" s="1"/>
    </row>
    <row r="29" spans="1:14" ht="20.25" x14ac:dyDescent="0.15">
      <c r="A29" s="25" t="s">
        <v>39</v>
      </c>
      <c r="B29" s="27" t="s">
        <v>40</v>
      </c>
    </row>
    <row r="30" spans="1:14" ht="20.25" x14ac:dyDescent="0.15">
      <c r="A30" s="25" t="s">
        <v>41</v>
      </c>
      <c r="B30" s="28" t="s">
        <v>42</v>
      </c>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34"/>
  <sheetViews>
    <sheetView tabSelected="1" topLeftCell="A7" workbookViewId="0">
      <selection activeCell="I22" sqref="I22"/>
    </sheetView>
  </sheetViews>
  <sheetFormatPr defaultRowHeight="13.5" x14ac:dyDescent="0.15"/>
  <cols>
    <col min="1" max="16384" width="9" style="29"/>
  </cols>
  <sheetData>
    <row r="1" spans="1:1" x14ac:dyDescent="0.15">
      <c r="A1" s="29" t="s">
        <v>43</v>
      </c>
    </row>
    <row r="2" spans="1:1" x14ac:dyDescent="0.15">
      <c r="A2" s="29" t="s">
        <v>44</v>
      </c>
    </row>
    <row r="3" spans="1:1" x14ac:dyDescent="0.15">
      <c r="A3" s="29" t="s">
        <v>45</v>
      </c>
    </row>
    <row r="4" spans="1:1" x14ac:dyDescent="0.15">
      <c r="A4" s="29" t="s">
        <v>46</v>
      </c>
    </row>
    <row r="5" spans="1:1" x14ac:dyDescent="0.15">
      <c r="A5" s="29" t="s">
        <v>47</v>
      </c>
    </row>
    <row r="6" spans="1:1" x14ac:dyDescent="0.15">
      <c r="A6" s="29" t="s">
        <v>48</v>
      </c>
    </row>
    <row r="7" spans="1:1" x14ac:dyDescent="0.15">
      <c r="A7" s="29" t="s">
        <v>49</v>
      </c>
    </row>
    <row r="8" spans="1:1" x14ac:dyDescent="0.15">
      <c r="A8" s="29" t="s">
        <v>50</v>
      </c>
    </row>
    <row r="9" spans="1:1" x14ac:dyDescent="0.15">
      <c r="A9" s="29" t="s">
        <v>51</v>
      </c>
    </row>
    <row r="10" spans="1:1" x14ac:dyDescent="0.15">
      <c r="A10" s="29" t="s">
        <v>52</v>
      </c>
    </row>
    <row r="11" spans="1:1" x14ac:dyDescent="0.15">
      <c r="A11" s="29" t="s">
        <v>53</v>
      </c>
    </row>
    <row r="12" spans="1:1" x14ac:dyDescent="0.15">
      <c r="A12" s="29" t="s">
        <v>54</v>
      </c>
    </row>
    <row r="13" spans="1:1" x14ac:dyDescent="0.15">
      <c r="A13" s="29" t="s">
        <v>55</v>
      </c>
    </row>
    <row r="14" spans="1:1" x14ac:dyDescent="0.15">
      <c r="A14" s="29" t="s">
        <v>56</v>
      </c>
    </row>
    <row r="15" spans="1:1" x14ac:dyDescent="0.15">
      <c r="A15" s="29" t="s">
        <v>57</v>
      </c>
    </row>
    <row r="16" spans="1:1" x14ac:dyDescent="0.15">
      <c r="A16" s="29" t="s">
        <v>58</v>
      </c>
    </row>
    <row r="17" spans="1:1" x14ac:dyDescent="0.15">
      <c r="A17" s="29" t="s">
        <v>59</v>
      </c>
    </row>
    <row r="18" spans="1:1" x14ac:dyDescent="0.15">
      <c r="A18" s="29" t="s">
        <v>60</v>
      </c>
    </row>
    <row r="19" spans="1:1" x14ac:dyDescent="0.15">
      <c r="A19" s="29" t="s">
        <v>61</v>
      </c>
    </row>
    <row r="20" spans="1:1" x14ac:dyDescent="0.15">
      <c r="A20" s="29" t="s">
        <v>62</v>
      </c>
    </row>
    <row r="21" spans="1:1" x14ac:dyDescent="0.15">
      <c r="A21" s="29" t="s">
        <v>63</v>
      </c>
    </row>
    <row r="22" spans="1:1" x14ac:dyDescent="0.15">
      <c r="A22" s="29" t="s">
        <v>64</v>
      </c>
    </row>
    <row r="23" spans="1:1" x14ac:dyDescent="0.15">
      <c r="A23" s="29" t="s">
        <v>65</v>
      </c>
    </row>
    <row r="24" spans="1:1" x14ac:dyDescent="0.15">
      <c r="A24" s="29" t="s">
        <v>66</v>
      </c>
    </row>
    <row r="25" spans="1:1" x14ac:dyDescent="0.15">
      <c r="A25" s="29" t="s">
        <v>67</v>
      </c>
    </row>
    <row r="26" spans="1:1" x14ac:dyDescent="0.15">
      <c r="A26" s="29" t="s">
        <v>68</v>
      </c>
    </row>
    <row r="27" spans="1:1" x14ac:dyDescent="0.15">
      <c r="A27" s="29" t="s">
        <v>69</v>
      </c>
    </row>
    <row r="28" spans="1:1" x14ac:dyDescent="0.15">
      <c r="A28" s="29" t="s">
        <v>70</v>
      </c>
    </row>
    <row r="29" spans="1:1" x14ac:dyDescent="0.15">
      <c r="A29" s="29" t="s">
        <v>71</v>
      </c>
    </row>
    <row r="30" spans="1:1" x14ac:dyDescent="0.15">
      <c r="A30" s="29" t="s">
        <v>72</v>
      </c>
    </row>
    <row r="31" spans="1:1" x14ac:dyDescent="0.15">
      <c r="A31" s="29" t="s">
        <v>73</v>
      </c>
    </row>
    <row r="32" spans="1:1" x14ac:dyDescent="0.15">
      <c r="A32" s="29" t="s">
        <v>74</v>
      </c>
    </row>
    <row r="33" spans="1:1" x14ac:dyDescent="0.15">
      <c r="A33" s="29" t="s">
        <v>75</v>
      </c>
    </row>
    <row r="34" spans="1:1" x14ac:dyDescent="0.15">
      <c r="A34" s="29" t="s">
        <v>76</v>
      </c>
    </row>
    <row r="35" spans="1:1" x14ac:dyDescent="0.15">
      <c r="A35" s="29" t="s">
        <v>77</v>
      </c>
    </row>
    <row r="36" spans="1:1" x14ac:dyDescent="0.15">
      <c r="A36" s="29" t="s">
        <v>78</v>
      </c>
    </row>
    <row r="37" spans="1:1" x14ac:dyDescent="0.15">
      <c r="A37" s="29" t="s">
        <v>79</v>
      </c>
    </row>
    <row r="38" spans="1:1" x14ac:dyDescent="0.15">
      <c r="A38" s="29" t="s">
        <v>80</v>
      </c>
    </row>
    <row r="39" spans="1:1" x14ac:dyDescent="0.15">
      <c r="A39" s="29" t="s">
        <v>81</v>
      </c>
    </row>
    <row r="40" spans="1:1" x14ac:dyDescent="0.15">
      <c r="A40" s="29" t="s">
        <v>82</v>
      </c>
    </row>
    <row r="41" spans="1:1" x14ac:dyDescent="0.15">
      <c r="A41" s="29" t="s">
        <v>83</v>
      </c>
    </row>
    <row r="42" spans="1:1" x14ac:dyDescent="0.15">
      <c r="A42" s="29" t="s">
        <v>84</v>
      </c>
    </row>
    <row r="43" spans="1:1" x14ac:dyDescent="0.15">
      <c r="A43" s="29" t="s">
        <v>85</v>
      </c>
    </row>
    <row r="44" spans="1:1" x14ac:dyDescent="0.15">
      <c r="A44" s="29" t="s">
        <v>86</v>
      </c>
    </row>
    <row r="45" spans="1:1" x14ac:dyDescent="0.15">
      <c r="A45" s="29" t="s">
        <v>87</v>
      </c>
    </row>
    <row r="46" spans="1:1" x14ac:dyDescent="0.15">
      <c r="A46" s="29" t="s">
        <v>88</v>
      </c>
    </row>
    <row r="47" spans="1:1" x14ac:dyDescent="0.15">
      <c r="A47" s="29" t="s">
        <v>89</v>
      </c>
    </row>
    <row r="48" spans="1:1" x14ac:dyDescent="0.15">
      <c r="A48" s="29" t="s">
        <v>90</v>
      </c>
    </row>
    <row r="49" spans="1:1" x14ac:dyDescent="0.15">
      <c r="A49" s="29" t="s">
        <v>91</v>
      </c>
    </row>
    <row r="50" spans="1:1" x14ac:dyDescent="0.15">
      <c r="A50" s="29" t="s">
        <v>92</v>
      </c>
    </row>
    <row r="51" spans="1:1" x14ac:dyDescent="0.15">
      <c r="A51" s="29" t="s">
        <v>93</v>
      </c>
    </row>
    <row r="52" spans="1:1" x14ac:dyDescent="0.15">
      <c r="A52" s="29" t="s">
        <v>94</v>
      </c>
    </row>
    <row r="53" spans="1:1" x14ac:dyDescent="0.15">
      <c r="A53" s="29" t="s">
        <v>95</v>
      </c>
    </row>
    <row r="54" spans="1:1" x14ac:dyDescent="0.15">
      <c r="A54" s="29" t="s">
        <v>96</v>
      </c>
    </row>
    <row r="55" spans="1:1" x14ac:dyDescent="0.15">
      <c r="A55" s="29" t="s">
        <v>97</v>
      </c>
    </row>
    <row r="56" spans="1:1" x14ac:dyDescent="0.15">
      <c r="A56" s="29" t="s">
        <v>98</v>
      </c>
    </row>
    <row r="57" spans="1:1" x14ac:dyDescent="0.15">
      <c r="A57" s="29" t="s">
        <v>99</v>
      </c>
    </row>
    <row r="58" spans="1:1" x14ac:dyDescent="0.15">
      <c r="A58" s="29" t="s">
        <v>100</v>
      </c>
    </row>
    <row r="59" spans="1:1" x14ac:dyDescent="0.15">
      <c r="A59" s="29" t="s">
        <v>101</v>
      </c>
    </row>
    <row r="60" spans="1:1" x14ac:dyDescent="0.15">
      <c r="A60" s="29" t="s">
        <v>102</v>
      </c>
    </row>
    <row r="61" spans="1:1" x14ac:dyDescent="0.15">
      <c r="A61" s="29" t="s">
        <v>103</v>
      </c>
    </row>
    <row r="62" spans="1:1" x14ac:dyDescent="0.15">
      <c r="A62" s="29" t="s">
        <v>104</v>
      </c>
    </row>
    <row r="63" spans="1:1" x14ac:dyDescent="0.15">
      <c r="A63" s="29" t="s">
        <v>105</v>
      </c>
    </row>
    <row r="64" spans="1:1" x14ac:dyDescent="0.15">
      <c r="A64" s="29" t="s">
        <v>106</v>
      </c>
    </row>
    <row r="65" spans="1:1" x14ac:dyDescent="0.15">
      <c r="A65" s="29" t="s">
        <v>107</v>
      </c>
    </row>
    <row r="66" spans="1:1" x14ac:dyDescent="0.15">
      <c r="A66" s="29" t="s">
        <v>108</v>
      </c>
    </row>
    <row r="67" spans="1:1" x14ac:dyDescent="0.15">
      <c r="A67" s="29" t="s">
        <v>109</v>
      </c>
    </row>
    <row r="68" spans="1:1" x14ac:dyDescent="0.15">
      <c r="A68" s="29" t="s">
        <v>110</v>
      </c>
    </row>
    <row r="69" spans="1:1" x14ac:dyDescent="0.15">
      <c r="A69" s="29" t="s">
        <v>111</v>
      </c>
    </row>
    <row r="70" spans="1:1" x14ac:dyDescent="0.15">
      <c r="A70" s="29" t="s">
        <v>112</v>
      </c>
    </row>
    <row r="71" spans="1:1" x14ac:dyDescent="0.15">
      <c r="A71" s="29" t="s">
        <v>113</v>
      </c>
    </row>
    <row r="72" spans="1:1" x14ac:dyDescent="0.15">
      <c r="A72" s="29" t="s">
        <v>114</v>
      </c>
    </row>
    <row r="73" spans="1:1" x14ac:dyDescent="0.15">
      <c r="A73" s="29" t="s">
        <v>115</v>
      </c>
    </row>
    <row r="74" spans="1:1" x14ac:dyDescent="0.15">
      <c r="A74" s="29" t="s">
        <v>116</v>
      </c>
    </row>
    <row r="75" spans="1:1" x14ac:dyDescent="0.15">
      <c r="A75" s="29" t="s">
        <v>117</v>
      </c>
    </row>
    <row r="76" spans="1:1" x14ac:dyDescent="0.15">
      <c r="A76" s="29" t="s">
        <v>118</v>
      </c>
    </row>
    <row r="77" spans="1:1" x14ac:dyDescent="0.15">
      <c r="A77" s="29" t="s">
        <v>119</v>
      </c>
    </row>
    <row r="78" spans="1:1" x14ac:dyDescent="0.15">
      <c r="A78" s="29" t="s">
        <v>120</v>
      </c>
    </row>
    <row r="79" spans="1:1" x14ac:dyDescent="0.15">
      <c r="A79" s="29" t="s">
        <v>121</v>
      </c>
    </row>
    <row r="80" spans="1:1" x14ac:dyDescent="0.15">
      <c r="A80" s="29" t="s">
        <v>122</v>
      </c>
    </row>
    <row r="81" spans="1:1" x14ac:dyDescent="0.15">
      <c r="A81" s="29" t="s">
        <v>123</v>
      </c>
    </row>
    <row r="82" spans="1:1" x14ac:dyDescent="0.15">
      <c r="A82" s="29" t="s">
        <v>124</v>
      </c>
    </row>
    <row r="83" spans="1:1" x14ac:dyDescent="0.15">
      <c r="A83" s="29" t="s">
        <v>125</v>
      </c>
    </row>
    <row r="84" spans="1:1" x14ac:dyDescent="0.15">
      <c r="A84" s="29" t="s">
        <v>126</v>
      </c>
    </row>
    <row r="85" spans="1:1" x14ac:dyDescent="0.15">
      <c r="A85" s="29" t="s">
        <v>127</v>
      </c>
    </row>
    <row r="86" spans="1:1" x14ac:dyDescent="0.15">
      <c r="A86" s="29" t="s">
        <v>128</v>
      </c>
    </row>
    <row r="87" spans="1:1" x14ac:dyDescent="0.15">
      <c r="A87" s="29" t="s">
        <v>129</v>
      </c>
    </row>
    <row r="88" spans="1:1" x14ac:dyDescent="0.15">
      <c r="A88" s="29" t="s">
        <v>130</v>
      </c>
    </row>
    <row r="89" spans="1:1" x14ac:dyDescent="0.15">
      <c r="A89" s="29" t="s">
        <v>131</v>
      </c>
    </row>
    <row r="90" spans="1:1" x14ac:dyDescent="0.15">
      <c r="A90" s="29" t="s">
        <v>132</v>
      </c>
    </row>
    <row r="91" spans="1:1" x14ac:dyDescent="0.15">
      <c r="A91" s="29" t="s">
        <v>133</v>
      </c>
    </row>
    <row r="92" spans="1:1" x14ac:dyDescent="0.15">
      <c r="A92" s="29" t="s">
        <v>134</v>
      </c>
    </row>
    <row r="93" spans="1:1" x14ac:dyDescent="0.15">
      <c r="A93" s="29" t="s">
        <v>135</v>
      </c>
    </row>
    <row r="94" spans="1:1" x14ac:dyDescent="0.15">
      <c r="A94" s="29" t="s">
        <v>136</v>
      </c>
    </row>
    <row r="95" spans="1:1" x14ac:dyDescent="0.15">
      <c r="A95" s="29" t="s">
        <v>137</v>
      </c>
    </row>
    <row r="96" spans="1:1" x14ac:dyDescent="0.15">
      <c r="A96" s="29" t="s">
        <v>138</v>
      </c>
    </row>
    <row r="97" spans="1:1" x14ac:dyDescent="0.15">
      <c r="A97" s="29" t="s">
        <v>139</v>
      </c>
    </row>
    <row r="98" spans="1:1" x14ac:dyDescent="0.15">
      <c r="A98" s="29" t="s">
        <v>140</v>
      </c>
    </row>
    <row r="99" spans="1:1" x14ac:dyDescent="0.15">
      <c r="A99" s="29" t="s">
        <v>141</v>
      </c>
    </row>
    <row r="100" spans="1:1" x14ac:dyDescent="0.15">
      <c r="A100" s="29" t="s">
        <v>142</v>
      </c>
    </row>
    <row r="101" spans="1:1" x14ac:dyDescent="0.15">
      <c r="A101" s="29" t="s">
        <v>143</v>
      </c>
    </row>
    <row r="102" spans="1:1" x14ac:dyDescent="0.15">
      <c r="A102" s="29" t="s">
        <v>144</v>
      </c>
    </row>
    <row r="103" spans="1:1" x14ac:dyDescent="0.15">
      <c r="A103" s="29" t="s">
        <v>145</v>
      </c>
    </row>
    <row r="104" spans="1:1" x14ac:dyDescent="0.15">
      <c r="A104" s="29" t="s">
        <v>146</v>
      </c>
    </row>
    <row r="105" spans="1:1" x14ac:dyDescent="0.15">
      <c r="A105" s="29" t="s">
        <v>147</v>
      </c>
    </row>
    <row r="106" spans="1:1" x14ac:dyDescent="0.15">
      <c r="A106" s="29" t="s">
        <v>148</v>
      </c>
    </row>
    <row r="107" spans="1:1" x14ac:dyDescent="0.15">
      <c r="A107" s="29" t="s">
        <v>149</v>
      </c>
    </row>
    <row r="108" spans="1:1" x14ac:dyDescent="0.15">
      <c r="A108" s="29" t="s">
        <v>150</v>
      </c>
    </row>
    <row r="109" spans="1:1" x14ac:dyDescent="0.15">
      <c r="A109" s="29" t="s">
        <v>151</v>
      </c>
    </row>
    <row r="110" spans="1:1" x14ac:dyDescent="0.15">
      <c r="A110" s="29" t="s">
        <v>152</v>
      </c>
    </row>
    <row r="111" spans="1:1" x14ac:dyDescent="0.15">
      <c r="A111" s="29" t="s">
        <v>153</v>
      </c>
    </row>
    <row r="112" spans="1:1" x14ac:dyDescent="0.15">
      <c r="A112" s="29" t="s">
        <v>154</v>
      </c>
    </row>
    <row r="113" spans="1:1" x14ac:dyDescent="0.15">
      <c r="A113" s="29" t="s">
        <v>155</v>
      </c>
    </row>
    <row r="114" spans="1:1" x14ac:dyDescent="0.15">
      <c r="A114" s="29" t="s">
        <v>156</v>
      </c>
    </row>
    <row r="115" spans="1:1" x14ac:dyDescent="0.15">
      <c r="A115" s="29" t="s">
        <v>157</v>
      </c>
    </row>
    <row r="116" spans="1:1" x14ac:dyDescent="0.15">
      <c r="A116" s="29" t="s">
        <v>158</v>
      </c>
    </row>
    <row r="117" spans="1:1" x14ac:dyDescent="0.15">
      <c r="A117" s="29" t="s">
        <v>159</v>
      </c>
    </row>
    <row r="118" spans="1:1" x14ac:dyDescent="0.15">
      <c r="A118" s="29" t="s">
        <v>160</v>
      </c>
    </row>
    <row r="119" spans="1:1" x14ac:dyDescent="0.15">
      <c r="A119" s="29" t="s">
        <v>161</v>
      </c>
    </row>
    <row r="120" spans="1:1" x14ac:dyDescent="0.15">
      <c r="A120" s="29" t="s">
        <v>162</v>
      </c>
    </row>
    <row r="121" spans="1:1" x14ac:dyDescent="0.15">
      <c r="A121" s="29" t="s">
        <v>163</v>
      </c>
    </row>
    <row r="122" spans="1:1" x14ac:dyDescent="0.15">
      <c r="A122" s="29" t="s">
        <v>164</v>
      </c>
    </row>
    <row r="123" spans="1:1" x14ac:dyDescent="0.15">
      <c r="A123" s="29" t="s">
        <v>165</v>
      </c>
    </row>
    <row r="124" spans="1:1" x14ac:dyDescent="0.15">
      <c r="A124" s="29" t="s">
        <v>166</v>
      </c>
    </row>
    <row r="125" spans="1:1" x14ac:dyDescent="0.15">
      <c r="A125" s="29" t="s">
        <v>167</v>
      </c>
    </row>
    <row r="126" spans="1:1" x14ac:dyDescent="0.15">
      <c r="A126" s="29" t="s">
        <v>168</v>
      </c>
    </row>
    <row r="127" spans="1:1" x14ac:dyDescent="0.15">
      <c r="A127" s="29" t="s">
        <v>169</v>
      </c>
    </row>
    <row r="128" spans="1:1" x14ac:dyDescent="0.15">
      <c r="A128" s="29" t="s">
        <v>170</v>
      </c>
    </row>
    <row r="129" spans="1:1" x14ac:dyDescent="0.15">
      <c r="A129" s="29" t="s">
        <v>171</v>
      </c>
    </row>
    <row r="130" spans="1:1" x14ac:dyDescent="0.15">
      <c r="A130" s="29" t="s">
        <v>172</v>
      </c>
    </row>
    <row r="131" spans="1:1" x14ac:dyDescent="0.15">
      <c r="A131" s="29" t="s">
        <v>173</v>
      </c>
    </row>
    <row r="132" spans="1:1" x14ac:dyDescent="0.15">
      <c r="A132" s="29" t="s">
        <v>174</v>
      </c>
    </row>
    <row r="133" spans="1:1" x14ac:dyDescent="0.15">
      <c r="A133" s="29" t="s">
        <v>175</v>
      </c>
    </row>
    <row r="134" spans="1:1" x14ac:dyDescent="0.15">
      <c r="A134" s="29" t="s">
        <v>176</v>
      </c>
    </row>
    <row r="135" spans="1:1" x14ac:dyDescent="0.15">
      <c r="A135" s="29" t="s">
        <v>177</v>
      </c>
    </row>
    <row r="136" spans="1:1" x14ac:dyDescent="0.15">
      <c r="A136" s="29" t="s">
        <v>178</v>
      </c>
    </row>
    <row r="137" spans="1:1" x14ac:dyDescent="0.15">
      <c r="A137" s="29" t="s">
        <v>179</v>
      </c>
    </row>
    <row r="138" spans="1:1" x14ac:dyDescent="0.15">
      <c r="A138" s="29" t="s">
        <v>180</v>
      </c>
    </row>
    <row r="139" spans="1:1" x14ac:dyDescent="0.15">
      <c r="A139" s="29" t="s">
        <v>181</v>
      </c>
    </row>
    <row r="140" spans="1:1" x14ac:dyDescent="0.15">
      <c r="A140" s="29" t="s">
        <v>182</v>
      </c>
    </row>
    <row r="141" spans="1:1" x14ac:dyDescent="0.15">
      <c r="A141" s="29" t="s">
        <v>183</v>
      </c>
    </row>
    <row r="142" spans="1:1" x14ac:dyDescent="0.15">
      <c r="A142" s="29" t="s">
        <v>184</v>
      </c>
    </row>
    <row r="143" spans="1:1" x14ac:dyDescent="0.15">
      <c r="A143" s="29" t="s">
        <v>185</v>
      </c>
    </row>
    <row r="144" spans="1:1" x14ac:dyDescent="0.15">
      <c r="A144" s="29" t="s">
        <v>186</v>
      </c>
    </row>
    <row r="145" spans="1:1" x14ac:dyDescent="0.15">
      <c r="A145" s="29" t="s">
        <v>187</v>
      </c>
    </row>
    <row r="146" spans="1:1" x14ac:dyDescent="0.15">
      <c r="A146" s="29" t="s">
        <v>188</v>
      </c>
    </row>
    <row r="147" spans="1:1" x14ac:dyDescent="0.15">
      <c r="A147" s="29" t="s">
        <v>189</v>
      </c>
    </row>
    <row r="148" spans="1:1" x14ac:dyDescent="0.15">
      <c r="A148" s="29" t="s">
        <v>190</v>
      </c>
    </row>
    <row r="149" spans="1:1" x14ac:dyDescent="0.15">
      <c r="A149" s="29" t="s">
        <v>191</v>
      </c>
    </row>
    <row r="150" spans="1:1" x14ac:dyDescent="0.15">
      <c r="A150" s="29" t="s">
        <v>192</v>
      </c>
    </row>
    <row r="151" spans="1:1" x14ac:dyDescent="0.15">
      <c r="A151" s="29" t="s">
        <v>193</v>
      </c>
    </row>
    <row r="152" spans="1:1" x14ac:dyDescent="0.15">
      <c r="A152" s="29" t="s">
        <v>194</v>
      </c>
    </row>
    <row r="153" spans="1:1" x14ac:dyDescent="0.15">
      <c r="A153" s="29" t="s">
        <v>195</v>
      </c>
    </row>
    <row r="154" spans="1:1" x14ac:dyDescent="0.15">
      <c r="A154" s="29" t="s">
        <v>196</v>
      </c>
    </row>
    <row r="155" spans="1:1" x14ac:dyDescent="0.15">
      <c r="A155" s="29" t="s">
        <v>197</v>
      </c>
    </row>
    <row r="156" spans="1:1" x14ac:dyDescent="0.15">
      <c r="A156" s="29" t="s">
        <v>198</v>
      </c>
    </row>
    <row r="157" spans="1:1" x14ac:dyDescent="0.15">
      <c r="A157" s="29" t="s">
        <v>199</v>
      </c>
    </row>
    <row r="158" spans="1:1" x14ac:dyDescent="0.15">
      <c r="A158" s="29" t="s">
        <v>200</v>
      </c>
    </row>
    <row r="159" spans="1:1" x14ac:dyDescent="0.15">
      <c r="A159" s="29" t="s">
        <v>201</v>
      </c>
    </row>
    <row r="160" spans="1:1" x14ac:dyDescent="0.15">
      <c r="A160" s="29" t="s">
        <v>202</v>
      </c>
    </row>
    <row r="161" spans="1:1" x14ac:dyDescent="0.15">
      <c r="A161" s="29" t="s">
        <v>203</v>
      </c>
    </row>
    <row r="162" spans="1:1" x14ac:dyDescent="0.15">
      <c r="A162" s="29" t="s">
        <v>204</v>
      </c>
    </row>
    <row r="163" spans="1:1" x14ac:dyDescent="0.15">
      <c r="A163" s="29" t="s">
        <v>205</v>
      </c>
    </row>
    <row r="164" spans="1:1" x14ac:dyDescent="0.15">
      <c r="A164" s="29" t="s">
        <v>206</v>
      </c>
    </row>
    <row r="165" spans="1:1" x14ac:dyDescent="0.15">
      <c r="A165" s="29" t="s">
        <v>207</v>
      </c>
    </row>
    <row r="166" spans="1:1" x14ac:dyDescent="0.15">
      <c r="A166" s="29" t="s">
        <v>208</v>
      </c>
    </row>
    <row r="167" spans="1:1" x14ac:dyDescent="0.15">
      <c r="A167" s="29" t="s">
        <v>209</v>
      </c>
    </row>
    <row r="168" spans="1:1" x14ac:dyDescent="0.15">
      <c r="A168" s="29" t="s">
        <v>210</v>
      </c>
    </row>
    <row r="169" spans="1:1" x14ac:dyDescent="0.15">
      <c r="A169" s="29" t="s">
        <v>211</v>
      </c>
    </row>
    <row r="170" spans="1:1" x14ac:dyDescent="0.15">
      <c r="A170" s="29" t="s">
        <v>212</v>
      </c>
    </row>
    <row r="171" spans="1:1" x14ac:dyDescent="0.15">
      <c r="A171" s="29" t="s">
        <v>213</v>
      </c>
    </row>
    <row r="172" spans="1:1" x14ac:dyDescent="0.15">
      <c r="A172" s="29" t="s">
        <v>214</v>
      </c>
    </row>
    <row r="173" spans="1:1" x14ac:dyDescent="0.15">
      <c r="A173" s="29" t="s">
        <v>215</v>
      </c>
    </row>
    <row r="174" spans="1:1" x14ac:dyDescent="0.15">
      <c r="A174" s="29" t="s">
        <v>216</v>
      </c>
    </row>
    <row r="175" spans="1:1" x14ac:dyDescent="0.15">
      <c r="A175" s="29" t="s">
        <v>217</v>
      </c>
    </row>
    <row r="176" spans="1:1" x14ac:dyDescent="0.15">
      <c r="A176" s="29" t="s">
        <v>218</v>
      </c>
    </row>
    <row r="177" spans="1:1" x14ac:dyDescent="0.15">
      <c r="A177" s="29" t="s">
        <v>219</v>
      </c>
    </row>
    <row r="178" spans="1:1" x14ac:dyDescent="0.15">
      <c r="A178" s="29" t="s">
        <v>220</v>
      </c>
    </row>
    <row r="179" spans="1:1" x14ac:dyDescent="0.15">
      <c r="A179" s="29" t="s">
        <v>221</v>
      </c>
    </row>
    <row r="180" spans="1:1" x14ac:dyDescent="0.15">
      <c r="A180" s="29" t="s">
        <v>222</v>
      </c>
    </row>
    <row r="181" spans="1:1" x14ac:dyDescent="0.15">
      <c r="A181" s="29" t="s">
        <v>223</v>
      </c>
    </row>
    <row r="182" spans="1:1" x14ac:dyDescent="0.15">
      <c r="A182" s="29" t="s">
        <v>224</v>
      </c>
    </row>
    <row r="183" spans="1:1" x14ac:dyDescent="0.15">
      <c r="A183" s="29" t="s">
        <v>225</v>
      </c>
    </row>
    <row r="184" spans="1:1" x14ac:dyDescent="0.15">
      <c r="A184" s="29" t="s">
        <v>226</v>
      </c>
    </row>
    <row r="185" spans="1:1" x14ac:dyDescent="0.15">
      <c r="A185" s="29" t="s">
        <v>227</v>
      </c>
    </row>
    <row r="186" spans="1:1" x14ac:dyDescent="0.15">
      <c r="A186" s="29" t="s">
        <v>228</v>
      </c>
    </row>
    <row r="187" spans="1:1" x14ac:dyDescent="0.15">
      <c r="A187" s="29" t="s">
        <v>229</v>
      </c>
    </row>
    <row r="188" spans="1:1" x14ac:dyDescent="0.15">
      <c r="A188" s="29" t="s">
        <v>230</v>
      </c>
    </row>
    <row r="189" spans="1:1" x14ac:dyDescent="0.15">
      <c r="A189" s="29" t="s">
        <v>231</v>
      </c>
    </row>
    <row r="190" spans="1:1" x14ac:dyDescent="0.15">
      <c r="A190" s="29" t="s">
        <v>232</v>
      </c>
    </row>
    <row r="191" spans="1:1" x14ac:dyDescent="0.15">
      <c r="A191" s="29" t="s">
        <v>233</v>
      </c>
    </row>
    <row r="192" spans="1:1" x14ac:dyDescent="0.15">
      <c r="A192" s="29" t="s">
        <v>234</v>
      </c>
    </row>
    <row r="193" spans="1:1" x14ac:dyDescent="0.15">
      <c r="A193" s="29" t="s">
        <v>235</v>
      </c>
    </row>
    <row r="194" spans="1:1" x14ac:dyDescent="0.15">
      <c r="A194" s="29" t="s">
        <v>236</v>
      </c>
    </row>
    <row r="195" spans="1:1" x14ac:dyDescent="0.15">
      <c r="A195" s="29" t="s">
        <v>237</v>
      </c>
    </row>
    <row r="196" spans="1:1" x14ac:dyDescent="0.15">
      <c r="A196" s="29" t="s">
        <v>238</v>
      </c>
    </row>
    <row r="197" spans="1:1" x14ac:dyDescent="0.15">
      <c r="A197" s="29" t="s">
        <v>239</v>
      </c>
    </row>
    <row r="198" spans="1:1" x14ac:dyDescent="0.15">
      <c r="A198" s="29" t="s">
        <v>240</v>
      </c>
    </row>
    <row r="199" spans="1:1" x14ac:dyDescent="0.15">
      <c r="A199" s="29" t="s">
        <v>241</v>
      </c>
    </row>
    <row r="200" spans="1:1" x14ac:dyDescent="0.15">
      <c r="A200" s="29" t="s">
        <v>242</v>
      </c>
    </row>
    <row r="201" spans="1:1" x14ac:dyDescent="0.15">
      <c r="A201" s="29" t="s">
        <v>243</v>
      </c>
    </row>
    <row r="202" spans="1:1" x14ac:dyDescent="0.15">
      <c r="A202" s="29" t="s">
        <v>244</v>
      </c>
    </row>
    <row r="203" spans="1:1" x14ac:dyDescent="0.15">
      <c r="A203" s="29" t="s">
        <v>245</v>
      </c>
    </row>
    <row r="204" spans="1:1" x14ac:dyDescent="0.15">
      <c r="A204" s="29" t="s">
        <v>246</v>
      </c>
    </row>
    <row r="205" spans="1:1" x14ac:dyDescent="0.15">
      <c r="A205" s="29" t="s">
        <v>247</v>
      </c>
    </row>
    <row r="206" spans="1:1" x14ac:dyDescent="0.15">
      <c r="A206" s="29" t="s">
        <v>248</v>
      </c>
    </row>
    <row r="207" spans="1:1" x14ac:dyDescent="0.15">
      <c r="A207" s="29" t="s">
        <v>249</v>
      </c>
    </row>
    <row r="208" spans="1:1" x14ac:dyDescent="0.15">
      <c r="A208" s="29" t="s">
        <v>250</v>
      </c>
    </row>
    <row r="209" spans="1:1" x14ac:dyDescent="0.15">
      <c r="A209" s="29" t="s">
        <v>251</v>
      </c>
    </row>
    <row r="210" spans="1:1" x14ac:dyDescent="0.15">
      <c r="A210" s="29" t="s">
        <v>252</v>
      </c>
    </row>
    <row r="211" spans="1:1" x14ac:dyDescent="0.15">
      <c r="A211" s="29" t="s">
        <v>253</v>
      </c>
    </row>
    <row r="212" spans="1:1" x14ac:dyDescent="0.15">
      <c r="A212" s="29" t="s">
        <v>254</v>
      </c>
    </row>
    <row r="213" spans="1:1" x14ac:dyDescent="0.15">
      <c r="A213" s="29" t="s">
        <v>255</v>
      </c>
    </row>
    <row r="214" spans="1:1" x14ac:dyDescent="0.15">
      <c r="A214" s="29" t="s">
        <v>256</v>
      </c>
    </row>
    <row r="215" spans="1:1" x14ac:dyDescent="0.15">
      <c r="A215" s="29" t="s">
        <v>257</v>
      </c>
    </row>
    <row r="216" spans="1:1" x14ac:dyDescent="0.15">
      <c r="A216" s="29" t="s">
        <v>258</v>
      </c>
    </row>
    <row r="217" spans="1:1" x14ac:dyDescent="0.15">
      <c r="A217" s="29" t="s">
        <v>259</v>
      </c>
    </row>
    <row r="218" spans="1:1" x14ac:dyDescent="0.15">
      <c r="A218" s="29" t="s">
        <v>260</v>
      </c>
    </row>
    <row r="219" spans="1:1" x14ac:dyDescent="0.15">
      <c r="A219" s="29" t="s">
        <v>261</v>
      </c>
    </row>
    <row r="220" spans="1:1" x14ac:dyDescent="0.15">
      <c r="A220" s="29" t="s">
        <v>262</v>
      </c>
    </row>
    <row r="221" spans="1:1" x14ac:dyDescent="0.15">
      <c r="A221" s="29" t="s">
        <v>263</v>
      </c>
    </row>
    <row r="222" spans="1:1" x14ac:dyDescent="0.15">
      <c r="A222" s="29" t="s">
        <v>264</v>
      </c>
    </row>
    <row r="223" spans="1:1" x14ac:dyDescent="0.15">
      <c r="A223" s="29" t="s">
        <v>265</v>
      </c>
    </row>
    <row r="224" spans="1:1" x14ac:dyDescent="0.15">
      <c r="A224" s="29" t="s">
        <v>266</v>
      </c>
    </row>
    <row r="225" spans="1:1" x14ac:dyDescent="0.15">
      <c r="A225" s="29" t="s">
        <v>267</v>
      </c>
    </row>
    <row r="226" spans="1:1" x14ac:dyDescent="0.15">
      <c r="A226" s="29" t="s">
        <v>268</v>
      </c>
    </row>
    <row r="227" spans="1:1" x14ac:dyDescent="0.15">
      <c r="A227" s="29" t="s">
        <v>269</v>
      </c>
    </row>
    <row r="228" spans="1:1" x14ac:dyDescent="0.15">
      <c r="A228" s="29" t="s">
        <v>270</v>
      </c>
    </row>
    <row r="229" spans="1:1" x14ac:dyDescent="0.15">
      <c r="A229" s="29" t="s">
        <v>271</v>
      </c>
    </row>
    <row r="230" spans="1:1" x14ac:dyDescent="0.15">
      <c r="A230" s="29" t="s">
        <v>272</v>
      </c>
    </row>
    <row r="231" spans="1:1" x14ac:dyDescent="0.15">
      <c r="A231" s="29" t="s">
        <v>273</v>
      </c>
    </row>
    <row r="232" spans="1:1" x14ac:dyDescent="0.15">
      <c r="A232" s="29" t="s">
        <v>274</v>
      </c>
    </row>
    <row r="233" spans="1:1" x14ac:dyDescent="0.15">
      <c r="A233" s="29" t="s">
        <v>275</v>
      </c>
    </row>
    <row r="234" spans="1:1" x14ac:dyDescent="0.15">
      <c r="A234" s="29" t="s">
        <v>276</v>
      </c>
    </row>
    <row r="235" spans="1:1" x14ac:dyDescent="0.15">
      <c r="A235" s="29" t="s">
        <v>277</v>
      </c>
    </row>
    <row r="236" spans="1:1" x14ac:dyDescent="0.15">
      <c r="A236" s="29" t="s">
        <v>278</v>
      </c>
    </row>
    <row r="237" spans="1:1" x14ac:dyDescent="0.15">
      <c r="A237" s="29" t="s">
        <v>279</v>
      </c>
    </row>
    <row r="238" spans="1:1" x14ac:dyDescent="0.15">
      <c r="A238" s="29" t="s">
        <v>280</v>
      </c>
    </row>
    <row r="239" spans="1:1" x14ac:dyDescent="0.15">
      <c r="A239" s="29" t="s">
        <v>281</v>
      </c>
    </row>
    <row r="240" spans="1:1" x14ac:dyDescent="0.15">
      <c r="A240" s="29" t="s">
        <v>282</v>
      </c>
    </row>
    <row r="241" spans="1:1" x14ac:dyDescent="0.15">
      <c r="A241" s="29" t="s">
        <v>283</v>
      </c>
    </row>
    <row r="242" spans="1:1" x14ac:dyDescent="0.15">
      <c r="A242" s="29" t="s">
        <v>284</v>
      </c>
    </row>
    <row r="243" spans="1:1" x14ac:dyDescent="0.15">
      <c r="A243" s="29" t="s">
        <v>285</v>
      </c>
    </row>
    <row r="244" spans="1:1" x14ac:dyDescent="0.15">
      <c r="A244" s="29" t="s">
        <v>286</v>
      </c>
    </row>
    <row r="245" spans="1:1" x14ac:dyDescent="0.15">
      <c r="A245" s="29" t="s">
        <v>287</v>
      </c>
    </row>
    <row r="246" spans="1:1" x14ac:dyDescent="0.15">
      <c r="A246" s="29" t="s">
        <v>288</v>
      </c>
    </row>
    <row r="247" spans="1:1" x14ac:dyDescent="0.15">
      <c r="A247" s="29" t="s">
        <v>289</v>
      </c>
    </row>
    <row r="248" spans="1:1" x14ac:dyDescent="0.15">
      <c r="A248" s="29" t="s">
        <v>290</v>
      </c>
    </row>
    <row r="249" spans="1:1" x14ac:dyDescent="0.15">
      <c r="A249" s="29" t="s">
        <v>291</v>
      </c>
    </row>
    <row r="250" spans="1:1" x14ac:dyDescent="0.15">
      <c r="A250" s="29" t="s">
        <v>292</v>
      </c>
    </row>
    <row r="251" spans="1:1" x14ac:dyDescent="0.15">
      <c r="A251" s="29" t="s">
        <v>293</v>
      </c>
    </row>
    <row r="252" spans="1:1" x14ac:dyDescent="0.15">
      <c r="A252" s="29" t="s">
        <v>294</v>
      </c>
    </row>
    <row r="253" spans="1:1" x14ac:dyDescent="0.15">
      <c r="A253" s="29" t="s">
        <v>295</v>
      </c>
    </row>
    <row r="254" spans="1:1" x14ac:dyDescent="0.15">
      <c r="A254" s="29" t="s">
        <v>296</v>
      </c>
    </row>
    <row r="255" spans="1:1" x14ac:dyDescent="0.15">
      <c r="A255" s="29" t="s">
        <v>297</v>
      </c>
    </row>
    <row r="256" spans="1:1" x14ac:dyDescent="0.15">
      <c r="A256" s="29" t="s">
        <v>298</v>
      </c>
    </row>
    <row r="257" spans="1:1" x14ac:dyDescent="0.15">
      <c r="A257" s="29" t="s">
        <v>299</v>
      </c>
    </row>
    <row r="258" spans="1:1" x14ac:dyDescent="0.15">
      <c r="A258" s="29" t="s">
        <v>300</v>
      </c>
    </row>
    <row r="259" spans="1:1" x14ac:dyDescent="0.15">
      <c r="A259" s="29" t="s">
        <v>301</v>
      </c>
    </row>
    <row r="260" spans="1:1" x14ac:dyDescent="0.15">
      <c r="A260" s="29" t="s">
        <v>302</v>
      </c>
    </row>
    <row r="261" spans="1:1" x14ac:dyDescent="0.15">
      <c r="A261" s="29" t="s">
        <v>303</v>
      </c>
    </row>
    <row r="262" spans="1:1" x14ac:dyDescent="0.15">
      <c r="A262" s="29" t="s">
        <v>304</v>
      </c>
    </row>
    <row r="263" spans="1:1" x14ac:dyDescent="0.15">
      <c r="A263" s="29" t="s">
        <v>305</v>
      </c>
    </row>
    <row r="264" spans="1:1" x14ac:dyDescent="0.15">
      <c r="A264" s="29" t="s">
        <v>306</v>
      </c>
    </row>
    <row r="265" spans="1:1" x14ac:dyDescent="0.15">
      <c r="A265" s="29" t="s">
        <v>307</v>
      </c>
    </row>
    <row r="266" spans="1:1" x14ac:dyDescent="0.15">
      <c r="A266" s="29" t="s">
        <v>308</v>
      </c>
    </row>
    <row r="267" spans="1:1" x14ac:dyDescent="0.15">
      <c r="A267" s="29" t="s">
        <v>309</v>
      </c>
    </row>
    <row r="268" spans="1:1" x14ac:dyDescent="0.15">
      <c r="A268" s="29" t="s">
        <v>310</v>
      </c>
    </row>
    <row r="269" spans="1:1" x14ac:dyDescent="0.15">
      <c r="A269" s="29" t="s">
        <v>311</v>
      </c>
    </row>
    <row r="270" spans="1:1" x14ac:dyDescent="0.15">
      <c r="A270" s="29" t="s">
        <v>312</v>
      </c>
    </row>
    <row r="271" spans="1:1" x14ac:dyDescent="0.15">
      <c r="A271" s="29" t="s">
        <v>313</v>
      </c>
    </row>
    <row r="272" spans="1:1" x14ac:dyDescent="0.15">
      <c r="A272" s="29" t="s">
        <v>314</v>
      </c>
    </row>
    <row r="273" spans="1:1" x14ac:dyDescent="0.15">
      <c r="A273" s="29" t="s">
        <v>315</v>
      </c>
    </row>
    <row r="274" spans="1:1" x14ac:dyDescent="0.15">
      <c r="A274" s="29" t="s">
        <v>316</v>
      </c>
    </row>
    <row r="275" spans="1:1" x14ac:dyDescent="0.15">
      <c r="A275" s="29" t="s">
        <v>317</v>
      </c>
    </row>
    <row r="276" spans="1:1" x14ac:dyDescent="0.15">
      <c r="A276" s="29" t="s">
        <v>318</v>
      </c>
    </row>
    <row r="277" spans="1:1" x14ac:dyDescent="0.15">
      <c r="A277" s="29" t="s">
        <v>319</v>
      </c>
    </row>
    <row r="278" spans="1:1" x14ac:dyDescent="0.15">
      <c r="A278" s="29" t="s">
        <v>320</v>
      </c>
    </row>
    <row r="279" spans="1:1" x14ac:dyDescent="0.15">
      <c r="A279" s="29" t="s">
        <v>321</v>
      </c>
    </row>
    <row r="280" spans="1:1" x14ac:dyDescent="0.15">
      <c r="A280" s="29" t="s">
        <v>322</v>
      </c>
    </row>
    <row r="281" spans="1:1" x14ac:dyDescent="0.15">
      <c r="A281" s="29" t="s">
        <v>323</v>
      </c>
    </row>
    <row r="282" spans="1:1" x14ac:dyDescent="0.15">
      <c r="A282" s="29" t="s">
        <v>324</v>
      </c>
    </row>
    <row r="283" spans="1:1" x14ac:dyDescent="0.15">
      <c r="A283" s="29" t="s">
        <v>325</v>
      </c>
    </row>
    <row r="284" spans="1:1" x14ac:dyDescent="0.15">
      <c r="A284" s="29" t="s">
        <v>326</v>
      </c>
    </row>
    <row r="285" spans="1:1" x14ac:dyDescent="0.15">
      <c r="A285" s="29" t="s">
        <v>327</v>
      </c>
    </row>
    <row r="286" spans="1:1" x14ac:dyDescent="0.15">
      <c r="A286" s="29" t="s">
        <v>328</v>
      </c>
    </row>
    <row r="287" spans="1:1" x14ac:dyDescent="0.15">
      <c r="A287" s="29" t="s">
        <v>329</v>
      </c>
    </row>
    <row r="288" spans="1:1" x14ac:dyDescent="0.15">
      <c r="A288" s="29" t="s">
        <v>330</v>
      </c>
    </row>
    <row r="289" spans="1:1" x14ac:dyDescent="0.15">
      <c r="A289" s="29" t="s">
        <v>331</v>
      </c>
    </row>
    <row r="290" spans="1:1" x14ac:dyDescent="0.15">
      <c r="A290" s="29" t="s">
        <v>332</v>
      </c>
    </row>
    <row r="291" spans="1:1" x14ac:dyDescent="0.15">
      <c r="A291" s="29" t="s">
        <v>333</v>
      </c>
    </row>
    <row r="292" spans="1:1" x14ac:dyDescent="0.15">
      <c r="A292" s="29" t="s">
        <v>334</v>
      </c>
    </row>
    <row r="293" spans="1:1" x14ac:dyDescent="0.15">
      <c r="A293" s="29" t="s">
        <v>335</v>
      </c>
    </row>
    <row r="294" spans="1:1" x14ac:dyDescent="0.15">
      <c r="A294" s="29" t="s">
        <v>336</v>
      </c>
    </row>
    <row r="295" spans="1:1" x14ac:dyDescent="0.15">
      <c r="A295" s="29" t="s">
        <v>337</v>
      </c>
    </row>
    <row r="296" spans="1:1" x14ac:dyDescent="0.15">
      <c r="A296" s="29" t="s">
        <v>338</v>
      </c>
    </row>
    <row r="297" spans="1:1" x14ac:dyDescent="0.15">
      <c r="A297" s="29" t="s">
        <v>339</v>
      </c>
    </row>
    <row r="298" spans="1:1" x14ac:dyDescent="0.15">
      <c r="A298" s="29" t="s">
        <v>340</v>
      </c>
    </row>
    <row r="299" spans="1:1" x14ac:dyDescent="0.15">
      <c r="A299" s="29" t="s">
        <v>341</v>
      </c>
    </row>
    <row r="300" spans="1:1" x14ac:dyDescent="0.15">
      <c r="A300" s="29" t="s">
        <v>342</v>
      </c>
    </row>
    <row r="301" spans="1:1" x14ac:dyDescent="0.15">
      <c r="A301" s="29" t="s">
        <v>343</v>
      </c>
    </row>
    <row r="302" spans="1:1" x14ac:dyDescent="0.15">
      <c r="A302" s="29" t="s">
        <v>344</v>
      </c>
    </row>
    <row r="303" spans="1:1" x14ac:dyDescent="0.15">
      <c r="A303" s="29" t="s">
        <v>345</v>
      </c>
    </row>
    <row r="304" spans="1:1" x14ac:dyDescent="0.15">
      <c r="A304" s="29" t="s">
        <v>346</v>
      </c>
    </row>
    <row r="305" spans="1:1" x14ac:dyDescent="0.15">
      <c r="A305" s="29" t="s">
        <v>347</v>
      </c>
    </row>
    <row r="306" spans="1:1" x14ac:dyDescent="0.15">
      <c r="A306" s="29" t="s">
        <v>348</v>
      </c>
    </row>
    <row r="307" spans="1:1" x14ac:dyDescent="0.15">
      <c r="A307" s="29" t="s">
        <v>349</v>
      </c>
    </row>
    <row r="308" spans="1:1" x14ac:dyDescent="0.15">
      <c r="A308" s="29" t="s">
        <v>350</v>
      </c>
    </row>
    <row r="309" spans="1:1" x14ac:dyDescent="0.15">
      <c r="A309" s="29" t="s">
        <v>351</v>
      </c>
    </row>
    <row r="310" spans="1:1" x14ac:dyDescent="0.15">
      <c r="A310" s="29" t="s">
        <v>352</v>
      </c>
    </row>
    <row r="311" spans="1:1" x14ac:dyDescent="0.15">
      <c r="A311" s="29" t="s">
        <v>353</v>
      </c>
    </row>
    <row r="312" spans="1:1" x14ac:dyDescent="0.15">
      <c r="A312" s="29" t="s">
        <v>354</v>
      </c>
    </row>
    <row r="313" spans="1:1" x14ac:dyDescent="0.15">
      <c r="A313" s="29" t="s">
        <v>355</v>
      </c>
    </row>
    <row r="314" spans="1:1" x14ac:dyDescent="0.15">
      <c r="A314" s="29" t="s">
        <v>356</v>
      </c>
    </row>
    <row r="315" spans="1:1" x14ac:dyDescent="0.15">
      <c r="A315" s="29" t="s">
        <v>357</v>
      </c>
    </row>
    <row r="316" spans="1:1" x14ac:dyDescent="0.15">
      <c r="A316" s="29" t="s">
        <v>358</v>
      </c>
    </row>
    <row r="317" spans="1:1" x14ac:dyDescent="0.15">
      <c r="A317" s="29" t="s">
        <v>359</v>
      </c>
    </row>
    <row r="318" spans="1:1" x14ac:dyDescent="0.15">
      <c r="A318" s="29" t="s">
        <v>360</v>
      </c>
    </row>
    <row r="319" spans="1:1" x14ac:dyDescent="0.15">
      <c r="A319" s="29" t="s">
        <v>361</v>
      </c>
    </row>
    <row r="320" spans="1:1" x14ac:dyDescent="0.15">
      <c r="A320" s="29" t="s">
        <v>362</v>
      </c>
    </row>
    <row r="321" spans="1:1" x14ac:dyDescent="0.15">
      <c r="A321" s="29" t="s">
        <v>363</v>
      </c>
    </row>
    <row r="322" spans="1:1" x14ac:dyDescent="0.15">
      <c r="A322" s="29" t="s">
        <v>364</v>
      </c>
    </row>
    <row r="323" spans="1:1" x14ac:dyDescent="0.15">
      <c r="A323" s="29" t="s">
        <v>365</v>
      </c>
    </row>
    <row r="324" spans="1:1" x14ac:dyDescent="0.15">
      <c r="A324" s="29" t="s">
        <v>366</v>
      </c>
    </row>
    <row r="325" spans="1:1" x14ac:dyDescent="0.15">
      <c r="A325" s="29" t="s">
        <v>367</v>
      </c>
    </row>
    <row r="326" spans="1:1" x14ac:dyDescent="0.15">
      <c r="A326" s="29" t="s">
        <v>368</v>
      </c>
    </row>
    <row r="327" spans="1:1" x14ac:dyDescent="0.15">
      <c r="A327" s="29" t="s">
        <v>369</v>
      </c>
    </row>
    <row r="328" spans="1:1" x14ac:dyDescent="0.15">
      <c r="A328" s="29" t="s">
        <v>370</v>
      </c>
    </row>
    <row r="329" spans="1:1" x14ac:dyDescent="0.15">
      <c r="A329" s="29" t="s">
        <v>371</v>
      </c>
    </row>
    <row r="330" spans="1:1" x14ac:dyDescent="0.15">
      <c r="A330" s="29" t="s">
        <v>372</v>
      </c>
    </row>
    <row r="331" spans="1:1" x14ac:dyDescent="0.15">
      <c r="A331" s="29" t="s">
        <v>373</v>
      </c>
    </row>
    <row r="332" spans="1:1" x14ac:dyDescent="0.15">
      <c r="A332" s="29" t="s">
        <v>374</v>
      </c>
    </row>
    <row r="333" spans="1:1" x14ac:dyDescent="0.15">
      <c r="A333" s="29" t="s">
        <v>375</v>
      </c>
    </row>
    <row r="334" spans="1:1" x14ac:dyDescent="0.15">
      <c r="A334" s="29" t="s">
        <v>376</v>
      </c>
    </row>
    <row r="335" spans="1:1" x14ac:dyDescent="0.15">
      <c r="A335" s="29" t="s">
        <v>377</v>
      </c>
    </row>
    <row r="336" spans="1:1" x14ac:dyDescent="0.15">
      <c r="A336" s="29" t="s">
        <v>378</v>
      </c>
    </row>
    <row r="337" spans="1:1" x14ac:dyDescent="0.15">
      <c r="A337" s="29" t="s">
        <v>379</v>
      </c>
    </row>
    <row r="338" spans="1:1" x14ac:dyDescent="0.15">
      <c r="A338" s="29" t="s">
        <v>380</v>
      </c>
    </row>
    <row r="339" spans="1:1" x14ac:dyDescent="0.15">
      <c r="A339" s="29" t="s">
        <v>381</v>
      </c>
    </row>
    <row r="340" spans="1:1" x14ac:dyDescent="0.15">
      <c r="A340" s="29" t="s">
        <v>382</v>
      </c>
    </row>
    <row r="341" spans="1:1" x14ac:dyDescent="0.15">
      <c r="A341" s="29" t="s">
        <v>383</v>
      </c>
    </row>
    <row r="342" spans="1:1" x14ac:dyDescent="0.15">
      <c r="A342" s="29" t="s">
        <v>384</v>
      </c>
    </row>
    <row r="343" spans="1:1" x14ac:dyDescent="0.15">
      <c r="A343" s="29" t="s">
        <v>385</v>
      </c>
    </row>
    <row r="344" spans="1:1" x14ac:dyDescent="0.15">
      <c r="A344" s="29" t="s">
        <v>386</v>
      </c>
    </row>
    <row r="345" spans="1:1" x14ac:dyDescent="0.15">
      <c r="A345" s="29" t="s">
        <v>387</v>
      </c>
    </row>
    <row r="346" spans="1:1" x14ac:dyDescent="0.15">
      <c r="A346" s="29" t="s">
        <v>388</v>
      </c>
    </row>
    <row r="347" spans="1:1" x14ac:dyDescent="0.15">
      <c r="A347" s="29" t="s">
        <v>389</v>
      </c>
    </row>
    <row r="348" spans="1:1" x14ac:dyDescent="0.15">
      <c r="A348" s="29" t="s">
        <v>390</v>
      </c>
    </row>
    <row r="349" spans="1:1" x14ac:dyDescent="0.15">
      <c r="A349" s="29" t="s">
        <v>391</v>
      </c>
    </row>
    <row r="350" spans="1:1" x14ac:dyDescent="0.15">
      <c r="A350" s="29" t="s">
        <v>392</v>
      </c>
    </row>
    <row r="351" spans="1:1" x14ac:dyDescent="0.15">
      <c r="A351" s="29" t="s">
        <v>393</v>
      </c>
    </row>
    <row r="352" spans="1:1" x14ac:dyDescent="0.15">
      <c r="A352" s="29" t="s">
        <v>394</v>
      </c>
    </row>
    <row r="353" spans="1:1" x14ac:dyDescent="0.15">
      <c r="A353" s="29" t="s">
        <v>395</v>
      </c>
    </row>
    <row r="354" spans="1:1" x14ac:dyDescent="0.15">
      <c r="A354" s="29" t="s">
        <v>396</v>
      </c>
    </row>
    <row r="355" spans="1:1" x14ac:dyDescent="0.15">
      <c r="A355" s="29" t="s">
        <v>397</v>
      </c>
    </row>
    <row r="356" spans="1:1" x14ac:dyDescent="0.15">
      <c r="A356" s="29" t="s">
        <v>398</v>
      </c>
    </row>
    <row r="357" spans="1:1" x14ac:dyDescent="0.15">
      <c r="A357" s="29" t="s">
        <v>399</v>
      </c>
    </row>
    <row r="358" spans="1:1" x14ac:dyDescent="0.15">
      <c r="A358" s="29" t="s">
        <v>400</v>
      </c>
    </row>
    <row r="359" spans="1:1" x14ac:dyDescent="0.15">
      <c r="A359" s="29" t="s">
        <v>401</v>
      </c>
    </row>
    <row r="360" spans="1:1" x14ac:dyDescent="0.15">
      <c r="A360" s="29" t="s">
        <v>402</v>
      </c>
    </row>
    <row r="361" spans="1:1" x14ac:dyDescent="0.15">
      <c r="A361" s="29" t="s">
        <v>403</v>
      </c>
    </row>
    <row r="362" spans="1:1" x14ac:dyDescent="0.15">
      <c r="A362" s="29" t="s">
        <v>404</v>
      </c>
    </row>
    <row r="363" spans="1:1" x14ac:dyDescent="0.15">
      <c r="A363" s="29" t="s">
        <v>405</v>
      </c>
    </row>
    <row r="364" spans="1:1" x14ac:dyDescent="0.15">
      <c r="A364" s="29" t="s">
        <v>406</v>
      </c>
    </row>
    <row r="365" spans="1:1" x14ac:dyDescent="0.15">
      <c r="A365" s="29" t="s">
        <v>407</v>
      </c>
    </row>
    <row r="366" spans="1:1" x14ac:dyDescent="0.15">
      <c r="A366" s="29" t="s">
        <v>408</v>
      </c>
    </row>
    <row r="367" spans="1:1" x14ac:dyDescent="0.15">
      <c r="A367" s="29" t="s">
        <v>409</v>
      </c>
    </row>
    <row r="368" spans="1:1" x14ac:dyDescent="0.15">
      <c r="A368" s="29" t="s">
        <v>410</v>
      </c>
    </row>
    <row r="369" spans="1:1" x14ac:dyDescent="0.15">
      <c r="A369" s="29" t="s">
        <v>411</v>
      </c>
    </row>
    <row r="370" spans="1:1" x14ac:dyDescent="0.15">
      <c r="A370" s="29" t="s">
        <v>412</v>
      </c>
    </row>
    <row r="371" spans="1:1" x14ac:dyDescent="0.15">
      <c r="A371" s="29" t="s">
        <v>413</v>
      </c>
    </row>
    <row r="372" spans="1:1" x14ac:dyDescent="0.15">
      <c r="A372" s="29" t="s">
        <v>414</v>
      </c>
    </row>
    <row r="373" spans="1:1" x14ac:dyDescent="0.15">
      <c r="A373" s="29" t="s">
        <v>415</v>
      </c>
    </row>
    <row r="374" spans="1:1" x14ac:dyDescent="0.15">
      <c r="A374" s="29" t="s">
        <v>416</v>
      </c>
    </row>
    <row r="375" spans="1:1" x14ac:dyDescent="0.15">
      <c r="A375" s="29" t="s">
        <v>417</v>
      </c>
    </row>
    <row r="376" spans="1:1" x14ac:dyDescent="0.15">
      <c r="A376" s="29" t="s">
        <v>418</v>
      </c>
    </row>
    <row r="377" spans="1:1" x14ac:dyDescent="0.15">
      <c r="A377" s="29" t="s">
        <v>419</v>
      </c>
    </row>
    <row r="378" spans="1:1" x14ac:dyDescent="0.15">
      <c r="A378" s="29" t="s">
        <v>420</v>
      </c>
    </row>
    <row r="379" spans="1:1" x14ac:dyDescent="0.15">
      <c r="A379" s="29" t="s">
        <v>421</v>
      </c>
    </row>
    <row r="380" spans="1:1" x14ac:dyDescent="0.15">
      <c r="A380" s="29" t="s">
        <v>422</v>
      </c>
    </row>
    <row r="381" spans="1:1" x14ac:dyDescent="0.15">
      <c r="A381" s="29" t="s">
        <v>423</v>
      </c>
    </row>
    <row r="382" spans="1:1" x14ac:dyDescent="0.15">
      <c r="A382" s="29" t="s">
        <v>424</v>
      </c>
    </row>
    <row r="383" spans="1:1" x14ac:dyDescent="0.15">
      <c r="A383" s="29" t="s">
        <v>425</v>
      </c>
    </row>
    <row r="384" spans="1:1" x14ac:dyDescent="0.15">
      <c r="A384" s="29" t="s">
        <v>426</v>
      </c>
    </row>
    <row r="385" spans="1:1" x14ac:dyDescent="0.15">
      <c r="A385" s="29" t="s">
        <v>427</v>
      </c>
    </row>
    <row r="386" spans="1:1" x14ac:dyDescent="0.15">
      <c r="A386" s="29" t="s">
        <v>428</v>
      </c>
    </row>
    <row r="387" spans="1:1" x14ac:dyDescent="0.15">
      <c r="A387" s="29" t="s">
        <v>429</v>
      </c>
    </row>
    <row r="388" spans="1:1" x14ac:dyDescent="0.15">
      <c r="A388" s="29" t="s">
        <v>430</v>
      </c>
    </row>
    <row r="389" spans="1:1" x14ac:dyDescent="0.15">
      <c r="A389" s="29" t="s">
        <v>431</v>
      </c>
    </row>
    <row r="390" spans="1:1" x14ac:dyDescent="0.15">
      <c r="A390" s="29" t="s">
        <v>432</v>
      </c>
    </row>
    <row r="391" spans="1:1" x14ac:dyDescent="0.15">
      <c r="A391" s="29" t="s">
        <v>433</v>
      </c>
    </row>
    <row r="392" spans="1:1" x14ac:dyDescent="0.15">
      <c r="A392" s="29" t="s">
        <v>434</v>
      </c>
    </row>
    <row r="393" spans="1:1" x14ac:dyDescent="0.15">
      <c r="A393" s="29" t="s">
        <v>435</v>
      </c>
    </row>
    <row r="394" spans="1:1" x14ac:dyDescent="0.15">
      <c r="A394" s="29" t="s">
        <v>436</v>
      </c>
    </row>
    <row r="395" spans="1:1" x14ac:dyDescent="0.15">
      <c r="A395" s="29" t="s">
        <v>437</v>
      </c>
    </row>
    <row r="396" spans="1:1" x14ac:dyDescent="0.15">
      <c r="A396" s="29" t="s">
        <v>438</v>
      </c>
    </row>
    <row r="397" spans="1:1" x14ac:dyDescent="0.15">
      <c r="A397" s="29" t="s">
        <v>439</v>
      </c>
    </row>
    <row r="398" spans="1:1" x14ac:dyDescent="0.15">
      <c r="A398" s="29" t="s">
        <v>440</v>
      </c>
    </row>
    <row r="399" spans="1:1" x14ac:dyDescent="0.15">
      <c r="A399" s="29" t="s">
        <v>441</v>
      </c>
    </row>
    <row r="400" spans="1:1" x14ac:dyDescent="0.15">
      <c r="A400" s="29" t="s">
        <v>442</v>
      </c>
    </row>
    <row r="401" spans="1:1" x14ac:dyDescent="0.15">
      <c r="A401" s="29" t="s">
        <v>443</v>
      </c>
    </row>
    <row r="402" spans="1:1" x14ac:dyDescent="0.15">
      <c r="A402" s="29" t="s">
        <v>444</v>
      </c>
    </row>
    <row r="403" spans="1:1" x14ac:dyDescent="0.15">
      <c r="A403" s="29" t="s">
        <v>445</v>
      </c>
    </row>
    <row r="404" spans="1:1" x14ac:dyDescent="0.15">
      <c r="A404" s="29" t="s">
        <v>446</v>
      </c>
    </row>
    <row r="405" spans="1:1" x14ac:dyDescent="0.15">
      <c r="A405" s="29" t="s">
        <v>447</v>
      </c>
    </row>
    <row r="406" spans="1:1" x14ac:dyDescent="0.15">
      <c r="A406" s="29" t="s">
        <v>448</v>
      </c>
    </row>
    <row r="407" spans="1:1" x14ac:dyDescent="0.15">
      <c r="A407" s="29" t="s">
        <v>449</v>
      </c>
    </row>
    <row r="408" spans="1:1" x14ac:dyDescent="0.15">
      <c r="A408" s="29" t="s">
        <v>450</v>
      </c>
    </row>
    <row r="409" spans="1:1" x14ac:dyDescent="0.15">
      <c r="A409" s="29" t="s">
        <v>451</v>
      </c>
    </row>
    <row r="410" spans="1:1" x14ac:dyDescent="0.15">
      <c r="A410" s="29" t="s">
        <v>452</v>
      </c>
    </row>
    <row r="411" spans="1:1" x14ac:dyDescent="0.15">
      <c r="A411" s="29" t="s">
        <v>453</v>
      </c>
    </row>
    <row r="412" spans="1:1" x14ac:dyDescent="0.15">
      <c r="A412" s="29" t="s">
        <v>454</v>
      </c>
    </row>
    <row r="413" spans="1:1" x14ac:dyDescent="0.15">
      <c r="A413" s="29" t="s">
        <v>455</v>
      </c>
    </row>
    <row r="414" spans="1:1" x14ac:dyDescent="0.15">
      <c r="A414" s="29" t="s">
        <v>456</v>
      </c>
    </row>
    <row r="415" spans="1:1" x14ac:dyDescent="0.15">
      <c r="A415" s="29" t="s">
        <v>457</v>
      </c>
    </row>
    <row r="416" spans="1:1" x14ac:dyDescent="0.15">
      <c r="A416" s="29" t="s">
        <v>458</v>
      </c>
    </row>
    <row r="417" spans="1:1" x14ac:dyDescent="0.15">
      <c r="A417" s="29" t="s">
        <v>459</v>
      </c>
    </row>
    <row r="418" spans="1:1" x14ac:dyDescent="0.15">
      <c r="A418" s="29" t="s">
        <v>460</v>
      </c>
    </row>
    <row r="419" spans="1:1" x14ac:dyDescent="0.15">
      <c r="A419" s="29" t="s">
        <v>461</v>
      </c>
    </row>
    <row r="420" spans="1:1" x14ac:dyDescent="0.15">
      <c r="A420" s="29" t="s">
        <v>462</v>
      </c>
    </row>
    <row r="421" spans="1:1" x14ac:dyDescent="0.15">
      <c r="A421" s="29" t="s">
        <v>463</v>
      </c>
    </row>
    <row r="422" spans="1:1" x14ac:dyDescent="0.15">
      <c r="A422" s="29" t="s">
        <v>464</v>
      </c>
    </row>
    <row r="423" spans="1:1" x14ac:dyDescent="0.15">
      <c r="A423" s="29" t="s">
        <v>465</v>
      </c>
    </row>
    <row r="424" spans="1:1" x14ac:dyDescent="0.15">
      <c r="A424" s="29" t="s">
        <v>466</v>
      </c>
    </row>
    <row r="425" spans="1:1" x14ac:dyDescent="0.15">
      <c r="A425" s="29" t="s">
        <v>467</v>
      </c>
    </row>
    <row r="426" spans="1:1" x14ac:dyDescent="0.15">
      <c r="A426" s="29" t="s">
        <v>468</v>
      </c>
    </row>
    <row r="427" spans="1:1" x14ac:dyDescent="0.15">
      <c r="A427" s="29" t="s">
        <v>469</v>
      </c>
    </row>
    <row r="428" spans="1:1" x14ac:dyDescent="0.15">
      <c r="A428" s="29" t="s">
        <v>470</v>
      </c>
    </row>
    <row r="429" spans="1:1" x14ac:dyDescent="0.15">
      <c r="A429" s="29" t="s">
        <v>471</v>
      </c>
    </row>
    <row r="430" spans="1:1" x14ac:dyDescent="0.15">
      <c r="A430" s="29" t="s">
        <v>472</v>
      </c>
    </row>
    <row r="431" spans="1:1" x14ac:dyDescent="0.15">
      <c r="A431" s="29" t="s">
        <v>473</v>
      </c>
    </row>
    <row r="432" spans="1:1" x14ac:dyDescent="0.15">
      <c r="A432" s="29" t="s">
        <v>474</v>
      </c>
    </row>
    <row r="433" spans="1:1" x14ac:dyDescent="0.15">
      <c r="A433" s="29" t="s">
        <v>475</v>
      </c>
    </row>
    <row r="434" spans="1:1" x14ac:dyDescent="0.15">
      <c r="A434" s="29" t="s">
        <v>476</v>
      </c>
    </row>
    <row r="435" spans="1:1" x14ac:dyDescent="0.15">
      <c r="A435" s="29" t="s">
        <v>477</v>
      </c>
    </row>
    <row r="436" spans="1:1" x14ac:dyDescent="0.15">
      <c r="A436" s="29" t="s">
        <v>478</v>
      </c>
    </row>
    <row r="437" spans="1:1" x14ac:dyDescent="0.15">
      <c r="A437" s="29" t="s">
        <v>479</v>
      </c>
    </row>
    <row r="438" spans="1:1" x14ac:dyDescent="0.15">
      <c r="A438" s="29" t="s">
        <v>480</v>
      </c>
    </row>
    <row r="439" spans="1:1" x14ac:dyDescent="0.15">
      <c r="A439" s="29" t="s">
        <v>481</v>
      </c>
    </row>
    <row r="440" spans="1:1" x14ac:dyDescent="0.15">
      <c r="A440" s="29" t="s">
        <v>482</v>
      </c>
    </row>
    <row r="441" spans="1:1" x14ac:dyDescent="0.15">
      <c r="A441" s="29" t="s">
        <v>483</v>
      </c>
    </row>
    <row r="442" spans="1:1" x14ac:dyDescent="0.15">
      <c r="A442" s="29" t="s">
        <v>484</v>
      </c>
    </row>
    <row r="443" spans="1:1" x14ac:dyDescent="0.15">
      <c r="A443" s="29" t="s">
        <v>485</v>
      </c>
    </row>
    <row r="444" spans="1:1" x14ac:dyDescent="0.15">
      <c r="A444" s="29" t="s">
        <v>486</v>
      </c>
    </row>
    <row r="445" spans="1:1" x14ac:dyDescent="0.15">
      <c r="A445" s="29" t="s">
        <v>487</v>
      </c>
    </row>
    <row r="446" spans="1:1" x14ac:dyDescent="0.15">
      <c r="A446" s="29" t="s">
        <v>488</v>
      </c>
    </row>
    <row r="447" spans="1:1" x14ac:dyDescent="0.15">
      <c r="A447" s="29" t="s">
        <v>489</v>
      </c>
    </row>
    <row r="448" spans="1:1" x14ac:dyDescent="0.15">
      <c r="A448" s="29" t="s">
        <v>490</v>
      </c>
    </row>
    <row r="449" spans="1:1" x14ac:dyDescent="0.15">
      <c r="A449" s="29" t="s">
        <v>491</v>
      </c>
    </row>
    <row r="450" spans="1:1" x14ac:dyDescent="0.15">
      <c r="A450" s="29" t="s">
        <v>492</v>
      </c>
    </row>
    <row r="451" spans="1:1" x14ac:dyDescent="0.15">
      <c r="A451" s="29" t="s">
        <v>493</v>
      </c>
    </row>
    <row r="452" spans="1:1" x14ac:dyDescent="0.15">
      <c r="A452" s="29" t="s">
        <v>494</v>
      </c>
    </row>
    <row r="453" spans="1:1" x14ac:dyDescent="0.15">
      <c r="A453" s="29" t="s">
        <v>495</v>
      </c>
    </row>
    <row r="454" spans="1:1" x14ac:dyDescent="0.15">
      <c r="A454" s="29" t="s">
        <v>496</v>
      </c>
    </row>
    <row r="455" spans="1:1" x14ac:dyDescent="0.15">
      <c r="A455" s="29" t="s">
        <v>497</v>
      </c>
    </row>
    <row r="456" spans="1:1" x14ac:dyDescent="0.15">
      <c r="A456" s="29" t="s">
        <v>498</v>
      </c>
    </row>
    <row r="457" spans="1:1" x14ac:dyDescent="0.15">
      <c r="A457" s="29" t="s">
        <v>499</v>
      </c>
    </row>
    <row r="458" spans="1:1" x14ac:dyDescent="0.15">
      <c r="A458" s="29" t="s">
        <v>500</v>
      </c>
    </row>
    <row r="459" spans="1:1" x14ac:dyDescent="0.15">
      <c r="A459" s="29" t="s">
        <v>501</v>
      </c>
    </row>
    <row r="460" spans="1:1" x14ac:dyDescent="0.15">
      <c r="A460" s="29" t="s">
        <v>502</v>
      </c>
    </row>
    <row r="461" spans="1:1" x14ac:dyDescent="0.15">
      <c r="A461" s="29" t="s">
        <v>503</v>
      </c>
    </row>
    <row r="462" spans="1:1" x14ac:dyDescent="0.15">
      <c r="A462" s="29" t="s">
        <v>504</v>
      </c>
    </row>
    <row r="463" spans="1:1" x14ac:dyDescent="0.15">
      <c r="A463" s="29" t="s">
        <v>505</v>
      </c>
    </row>
    <row r="464" spans="1:1" x14ac:dyDescent="0.15">
      <c r="A464" s="29" t="s">
        <v>506</v>
      </c>
    </row>
    <row r="465" spans="1:1" x14ac:dyDescent="0.15">
      <c r="A465" s="29" t="s">
        <v>507</v>
      </c>
    </row>
    <row r="466" spans="1:1" x14ac:dyDescent="0.15">
      <c r="A466" s="29" t="s">
        <v>508</v>
      </c>
    </row>
    <row r="467" spans="1:1" x14ac:dyDescent="0.15">
      <c r="A467" s="29" t="s">
        <v>509</v>
      </c>
    </row>
    <row r="468" spans="1:1" x14ac:dyDescent="0.15">
      <c r="A468" s="29" t="s">
        <v>510</v>
      </c>
    </row>
    <row r="469" spans="1:1" x14ac:dyDescent="0.15">
      <c r="A469" s="29" t="s">
        <v>511</v>
      </c>
    </row>
    <row r="470" spans="1:1" x14ac:dyDescent="0.15">
      <c r="A470" s="29" t="s">
        <v>512</v>
      </c>
    </row>
    <row r="471" spans="1:1" x14ac:dyDescent="0.15">
      <c r="A471" s="29" t="s">
        <v>513</v>
      </c>
    </row>
    <row r="472" spans="1:1" x14ac:dyDescent="0.15">
      <c r="A472" s="29" t="s">
        <v>514</v>
      </c>
    </row>
    <row r="473" spans="1:1" x14ac:dyDescent="0.15">
      <c r="A473" s="29" t="s">
        <v>515</v>
      </c>
    </row>
    <row r="474" spans="1:1" x14ac:dyDescent="0.15">
      <c r="A474" s="29" t="s">
        <v>516</v>
      </c>
    </row>
    <row r="475" spans="1:1" x14ac:dyDescent="0.15">
      <c r="A475" s="29" t="s">
        <v>517</v>
      </c>
    </row>
    <row r="476" spans="1:1" x14ac:dyDescent="0.15">
      <c r="A476" s="29" t="s">
        <v>518</v>
      </c>
    </row>
    <row r="477" spans="1:1" x14ac:dyDescent="0.15">
      <c r="A477" s="29" t="s">
        <v>519</v>
      </c>
    </row>
    <row r="478" spans="1:1" x14ac:dyDescent="0.15">
      <c r="A478" s="29" t="s">
        <v>520</v>
      </c>
    </row>
    <row r="479" spans="1:1" x14ac:dyDescent="0.15">
      <c r="A479" s="29" t="s">
        <v>521</v>
      </c>
    </row>
    <row r="480" spans="1:1" x14ac:dyDescent="0.15">
      <c r="A480" s="29" t="s">
        <v>522</v>
      </c>
    </row>
    <row r="481" spans="1:1" x14ac:dyDescent="0.15">
      <c r="A481" s="29" t="s">
        <v>523</v>
      </c>
    </row>
    <row r="482" spans="1:1" x14ac:dyDescent="0.15">
      <c r="A482" s="29" t="s">
        <v>524</v>
      </c>
    </row>
    <row r="483" spans="1:1" x14ac:dyDescent="0.15">
      <c r="A483" s="29" t="s">
        <v>525</v>
      </c>
    </row>
    <row r="484" spans="1:1" x14ac:dyDescent="0.15">
      <c r="A484" s="29" t="s">
        <v>526</v>
      </c>
    </row>
    <row r="485" spans="1:1" x14ac:dyDescent="0.15">
      <c r="A485" s="29" t="s">
        <v>527</v>
      </c>
    </row>
    <row r="486" spans="1:1" x14ac:dyDescent="0.15">
      <c r="A486" s="29" t="s">
        <v>528</v>
      </c>
    </row>
    <row r="487" spans="1:1" x14ac:dyDescent="0.15">
      <c r="A487" s="29" t="s">
        <v>529</v>
      </c>
    </row>
    <row r="488" spans="1:1" x14ac:dyDescent="0.15">
      <c r="A488" s="29" t="s">
        <v>530</v>
      </c>
    </row>
    <row r="489" spans="1:1" x14ac:dyDescent="0.15">
      <c r="A489" s="29" t="s">
        <v>531</v>
      </c>
    </row>
    <row r="490" spans="1:1" x14ac:dyDescent="0.15">
      <c r="A490" s="29" t="s">
        <v>532</v>
      </c>
    </row>
    <row r="491" spans="1:1" x14ac:dyDescent="0.15">
      <c r="A491" s="29" t="s">
        <v>533</v>
      </c>
    </row>
    <row r="492" spans="1:1" x14ac:dyDescent="0.15">
      <c r="A492" s="29" t="s">
        <v>534</v>
      </c>
    </row>
    <row r="493" spans="1:1" x14ac:dyDescent="0.15">
      <c r="A493" s="29" t="s">
        <v>535</v>
      </c>
    </row>
    <row r="494" spans="1:1" x14ac:dyDescent="0.15">
      <c r="A494" s="29" t="s">
        <v>536</v>
      </c>
    </row>
    <row r="495" spans="1:1" x14ac:dyDescent="0.15">
      <c r="A495" s="29" t="s">
        <v>537</v>
      </c>
    </row>
    <row r="496" spans="1:1" x14ac:dyDescent="0.15">
      <c r="A496" s="29" t="s">
        <v>538</v>
      </c>
    </row>
    <row r="497" spans="1:1" x14ac:dyDescent="0.15">
      <c r="A497" s="29" t="s">
        <v>539</v>
      </c>
    </row>
    <row r="498" spans="1:1" x14ac:dyDescent="0.15">
      <c r="A498" s="29" t="s">
        <v>540</v>
      </c>
    </row>
    <row r="499" spans="1:1" x14ac:dyDescent="0.15">
      <c r="A499" s="29" t="s">
        <v>541</v>
      </c>
    </row>
    <row r="500" spans="1:1" x14ac:dyDescent="0.15">
      <c r="A500" s="29" t="s">
        <v>542</v>
      </c>
    </row>
    <row r="501" spans="1:1" x14ac:dyDescent="0.15">
      <c r="A501" s="29" t="s">
        <v>543</v>
      </c>
    </row>
    <row r="502" spans="1:1" x14ac:dyDescent="0.15">
      <c r="A502" s="29" t="s">
        <v>544</v>
      </c>
    </row>
    <row r="503" spans="1:1" x14ac:dyDescent="0.15">
      <c r="A503" s="29" t="s">
        <v>545</v>
      </c>
    </row>
    <row r="504" spans="1:1" x14ac:dyDescent="0.15">
      <c r="A504" s="29" t="s">
        <v>546</v>
      </c>
    </row>
    <row r="505" spans="1:1" x14ac:dyDescent="0.15">
      <c r="A505" s="29" t="s">
        <v>547</v>
      </c>
    </row>
    <row r="506" spans="1:1" x14ac:dyDescent="0.15">
      <c r="A506" s="29" t="s">
        <v>548</v>
      </c>
    </row>
    <row r="507" spans="1:1" x14ac:dyDescent="0.15">
      <c r="A507" s="29" t="s">
        <v>549</v>
      </c>
    </row>
    <row r="508" spans="1:1" x14ac:dyDescent="0.15">
      <c r="A508" s="29" t="s">
        <v>550</v>
      </c>
    </row>
    <row r="509" spans="1:1" x14ac:dyDescent="0.15">
      <c r="A509" s="29" t="s">
        <v>551</v>
      </c>
    </row>
    <row r="510" spans="1:1" x14ac:dyDescent="0.15">
      <c r="A510" s="29" t="s">
        <v>552</v>
      </c>
    </row>
    <row r="511" spans="1:1" x14ac:dyDescent="0.15">
      <c r="A511" s="29" t="s">
        <v>553</v>
      </c>
    </row>
    <row r="512" spans="1:1" x14ac:dyDescent="0.15">
      <c r="A512" s="29" t="s">
        <v>554</v>
      </c>
    </row>
    <row r="513" spans="1:1" x14ac:dyDescent="0.15">
      <c r="A513" s="29" t="s">
        <v>555</v>
      </c>
    </row>
    <row r="514" spans="1:1" x14ac:dyDescent="0.15">
      <c r="A514" s="29" t="s">
        <v>556</v>
      </c>
    </row>
    <row r="515" spans="1:1" x14ac:dyDescent="0.15">
      <c r="A515" s="29" t="s">
        <v>557</v>
      </c>
    </row>
    <row r="516" spans="1:1" x14ac:dyDescent="0.15">
      <c r="A516" s="29" t="s">
        <v>558</v>
      </c>
    </row>
    <row r="517" spans="1:1" x14ac:dyDescent="0.15">
      <c r="A517" s="29" t="s">
        <v>559</v>
      </c>
    </row>
    <row r="518" spans="1:1" x14ac:dyDescent="0.15">
      <c r="A518" s="29" t="s">
        <v>560</v>
      </c>
    </row>
    <row r="519" spans="1:1" x14ac:dyDescent="0.15">
      <c r="A519" s="29" t="s">
        <v>561</v>
      </c>
    </row>
    <row r="520" spans="1:1" x14ac:dyDescent="0.15">
      <c r="A520" s="29" t="s">
        <v>562</v>
      </c>
    </row>
    <row r="521" spans="1:1" x14ac:dyDescent="0.15">
      <c r="A521" s="29" t="s">
        <v>563</v>
      </c>
    </row>
    <row r="522" spans="1:1" x14ac:dyDescent="0.15">
      <c r="A522" s="29" t="s">
        <v>564</v>
      </c>
    </row>
    <row r="523" spans="1:1" x14ac:dyDescent="0.15">
      <c r="A523" s="29" t="s">
        <v>565</v>
      </c>
    </row>
    <row r="524" spans="1:1" x14ac:dyDescent="0.15">
      <c r="A524" s="29" t="s">
        <v>566</v>
      </c>
    </row>
    <row r="525" spans="1:1" x14ac:dyDescent="0.15">
      <c r="A525" s="29" t="s">
        <v>567</v>
      </c>
    </row>
    <row r="526" spans="1:1" x14ac:dyDescent="0.15">
      <c r="A526" s="29" t="s">
        <v>568</v>
      </c>
    </row>
    <row r="527" spans="1:1" x14ac:dyDescent="0.15">
      <c r="A527" s="29" t="s">
        <v>569</v>
      </c>
    </row>
    <row r="528" spans="1:1" x14ac:dyDescent="0.15">
      <c r="A528" s="29" t="s">
        <v>570</v>
      </c>
    </row>
    <row r="529" spans="1:1" x14ac:dyDescent="0.15">
      <c r="A529" s="29" t="s">
        <v>571</v>
      </c>
    </row>
    <row r="530" spans="1:1" x14ac:dyDescent="0.15">
      <c r="A530" s="29" t="s">
        <v>572</v>
      </c>
    </row>
    <row r="531" spans="1:1" x14ac:dyDescent="0.15">
      <c r="A531" s="29" t="s">
        <v>573</v>
      </c>
    </row>
    <row r="532" spans="1:1" x14ac:dyDescent="0.15">
      <c r="A532" s="29" t="s">
        <v>574</v>
      </c>
    </row>
    <row r="533" spans="1:1" x14ac:dyDescent="0.15">
      <c r="A533" s="29" t="s">
        <v>575</v>
      </c>
    </row>
    <row r="534" spans="1:1" x14ac:dyDescent="0.15">
      <c r="A534" s="29" t="s">
        <v>576</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等级划分</vt:lpstr>
      <vt:lpstr>Excel修炼</vt:lpstr>
      <vt:lpstr>Excel结构</vt:lpstr>
      <vt:lpstr>自定义函数</vt:lpstr>
      <vt:lpstr>文本处理</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王伟隆</dc:creator>
  <cp:lastModifiedBy>王伟隆</cp:lastModifiedBy>
  <dcterms:created xsi:type="dcterms:W3CDTF">2019-05-25T13:32:55Z</dcterms:created>
  <dcterms:modified xsi:type="dcterms:W3CDTF">2019-05-31T05:24:05Z</dcterms:modified>
</cp:coreProperties>
</file>